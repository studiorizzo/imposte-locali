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drawings/drawing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drawings/drawing7.xml" ContentType="application/vnd.openxmlformats-officedocument.drawing+xml"/>
  <Override PartName="/xl/ctrlProps/ctrlProp168.xml" ContentType="application/vnd.ms-excel.controlproperties+xml"/>
  <Override PartName="/xl/ctrlProps/ctrlProp169.xml" ContentType="application/vnd.ms-excel.controlproperties+xml"/>
  <Override PartName="/xl/drawings/drawing8.xml" ContentType="application/vnd.openxmlformats-officedocument.drawing+xml"/>
  <Override PartName="/xl/ctrlProps/ctrlProp170.xml" ContentType="application/vnd.ms-excel.controlproperties+xml"/>
  <Override PartName="/xl/drawings/drawing9.xml" ContentType="application/vnd.openxmlformats-officedocument.drawing+xml"/>
  <Override PartName="/xl/ctrlProps/ctrlProp17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francesca\Downloads\"/>
    </mc:Choice>
  </mc:AlternateContent>
  <xr:revisionPtr revIDLastSave="0" documentId="8_{3E881D4D-45E9-4F9F-93AD-1281AB4CC552}" xr6:coauthVersionLast="47" xr6:coauthVersionMax="47" xr10:uidLastSave="{00000000-0000-0000-0000-000000000000}"/>
  <bookViews>
    <workbookView showSheetTabs="0" xWindow="-108" yWindow="-108" windowWidth="23256" windowHeight="12456" xr2:uid="{4EE886A8-6C5C-49AB-9D7D-273E0F22D9DC}"/>
  </bookViews>
  <sheets>
    <sheet name="Home" sheetId="1" r:id="rId1"/>
    <sheet name="Terreni" sheetId="2" r:id="rId2"/>
    <sheet name="Fabbricati rurali" sheetId="8" r:id="rId3"/>
    <sheet name="Abitazione principale" sheetId="6" r:id="rId4"/>
    <sheet name="Altri fabbricati" sheetId="4" r:id="rId5"/>
    <sheet name="Aree fabbricabili" sheetId="5" r:id="rId6"/>
    <sheet name="Riepilogo" sheetId="7" r:id="rId7"/>
    <sheet name="Istruzioni" sheetId="9" r:id="rId8"/>
    <sheet name="Novità" sheetId="13" r:id="rId9"/>
    <sheet name="Oggetti" sheetId="3" state="hidden" r:id="rId10"/>
    <sheet name="Riduzione terreni" sheetId="12" state="hidden" r:id="rId11"/>
  </sheets>
  <externalReferences>
    <externalReference r:id="rId12"/>
    <externalReference r:id="rId13"/>
  </externalReferences>
  <definedNames>
    <definedName name="Altri_RC_rival">'[1]Altri fabbricati'!$K$5:$K$29</definedName>
    <definedName name="Appl_aliq_annon1">[1]Dati!$C$17</definedName>
    <definedName name="_xlnm.Print_Area" localSheetId="3">'Abitazione principale'!$A$2:$P$47</definedName>
    <definedName name="_xlnm.Print_Area" localSheetId="4">'Altri fabbricati'!$A$2:$W$30</definedName>
    <definedName name="_xlnm.Print_Area" localSheetId="5">'Aree fabbricabili'!$A$2:$Q$20</definedName>
    <definedName name="_xlnm.Print_Area" localSheetId="2">'Fabbricati rurali'!$A$2:$Q$34</definedName>
    <definedName name="_xlnm.Print_Area" localSheetId="0">Home!$A$1:$F$28</definedName>
    <definedName name="_xlnm.Print_Area" localSheetId="8">Novità!$A$1:$I$114</definedName>
    <definedName name="_xlnm.Print_Area" localSheetId="6">Riepilogo!$B$3:$H$32</definedName>
    <definedName name="_xlnm.Print_Area" localSheetId="1">Terreni!$A$2:$W$31</definedName>
    <definedName name="Celladata">#REF!</definedName>
    <definedName name="CelleInp">#REF!</definedName>
    <definedName name="_xlnm.Criteria">[2]PianoConti!$A$56:$D$58</definedName>
    <definedName name="_xlnm.Database">[2]Conti!$A$3:$E$499</definedName>
    <definedName name="Detr_abit_pric_anno2">[1]Dati!$C$16</definedName>
    <definedName name="Detr_abit_princ_anno1">[1]Dati!$C$18</definedName>
    <definedName name="Registrazione16" xlm="1" functionGroupId="14" shortcutKey="C">[2]MACRO!$P$1</definedName>
    <definedName name="Rid_terr_colt_dir">[1]Dati!$C$19</definedName>
    <definedName name="_xlnm.Print_Titles" localSheetId="4">'Altri fabbricati'!$B:$C</definedName>
    <definedName name="Vers_unica_soluz">[1]Dati!$C$15</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 i="4" l="1"/>
  <c r="T7" i="4"/>
  <c r="T8" i="4"/>
  <c r="T9" i="4"/>
  <c r="T10" i="4"/>
  <c r="T11" i="4"/>
  <c r="T12" i="4"/>
  <c r="T13" i="4"/>
  <c r="T14" i="4"/>
  <c r="T15" i="4"/>
  <c r="T16" i="4"/>
  <c r="T17" i="4"/>
  <c r="T18" i="4"/>
  <c r="T19" i="4"/>
  <c r="T20" i="4"/>
  <c r="T21" i="4"/>
  <c r="T22" i="4"/>
  <c r="T23" i="4"/>
  <c r="T24" i="4"/>
  <c r="T25" i="4"/>
  <c r="T26" i="4"/>
  <c r="T27" i="4"/>
  <c r="T28" i="4"/>
  <c r="T29" i="4"/>
  <c r="T5" i="4"/>
  <c r="R6" i="4"/>
  <c r="R7" i="4"/>
  <c r="R8" i="4"/>
  <c r="R9" i="4"/>
  <c r="R10" i="4"/>
  <c r="R11" i="4"/>
  <c r="R12" i="4"/>
  <c r="R13" i="4"/>
  <c r="R14" i="4"/>
  <c r="R15" i="4"/>
  <c r="R16" i="4"/>
  <c r="R17" i="4"/>
  <c r="R18" i="4"/>
  <c r="R19" i="4"/>
  <c r="R20" i="4"/>
  <c r="R21" i="4"/>
  <c r="R22" i="4"/>
  <c r="R23" i="4"/>
  <c r="R24" i="4"/>
  <c r="R25" i="4"/>
  <c r="R26" i="4"/>
  <c r="R27" i="4"/>
  <c r="R28" i="4"/>
  <c r="R29" i="4"/>
  <c r="R5" i="4"/>
  <c r="S6" i="4"/>
  <c r="S7" i="4"/>
  <c r="S8" i="4"/>
  <c r="S9" i="4"/>
  <c r="S30" i="4" s="1"/>
  <c r="F21" i="7" s="1"/>
  <c r="S10" i="4"/>
  <c r="S11" i="4"/>
  <c r="S12" i="4"/>
  <c r="S13" i="4"/>
  <c r="S14" i="4"/>
  <c r="S15" i="4"/>
  <c r="S16" i="4"/>
  <c r="S17" i="4"/>
  <c r="S18" i="4"/>
  <c r="S19" i="4"/>
  <c r="S20" i="4"/>
  <c r="S21" i="4"/>
  <c r="S22" i="4"/>
  <c r="S23" i="4"/>
  <c r="S24" i="4"/>
  <c r="S25" i="4"/>
  <c r="S26" i="4"/>
  <c r="S27" i="4"/>
  <c r="S28" i="4"/>
  <c r="S29" i="4"/>
  <c r="Q6" i="4"/>
  <c r="Q7" i="4"/>
  <c r="Q8" i="4"/>
  <c r="Q9" i="4"/>
  <c r="Q10" i="4"/>
  <c r="Q11" i="4"/>
  <c r="Q12" i="4"/>
  <c r="Q13" i="4"/>
  <c r="Q14" i="4"/>
  <c r="Q15" i="4"/>
  <c r="Q16" i="4"/>
  <c r="Q17" i="4"/>
  <c r="Q18" i="4"/>
  <c r="Q19" i="4"/>
  <c r="Q20" i="4"/>
  <c r="Q21" i="4"/>
  <c r="Q22" i="4"/>
  <c r="Q23" i="4"/>
  <c r="Q24" i="4"/>
  <c r="Q25" i="4"/>
  <c r="Q26" i="4"/>
  <c r="Q27" i="4"/>
  <c r="Q28" i="4"/>
  <c r="Q29" i="4"/>
  <c r="O7" i="4"/>
  <c r="U7" i="4" s="1"/>
  <c r="O8" i="4"/>
  <c r="U8" i="4"/>
  <c r="O9" i="4"/>
  <c r="U9" i="4"/>
  <c r="V9" i="4" s="1"/>
  <c r="Y9" i="4" s="1"/>
  <c r="O10" i="4"/>
  <c r="U10" i="4" s="1"/>
  <c r="O11" i="4"/>
  <c r="U11" i="4" s="1"/>
  <c r="O12" i="4"/>
  <c r="U12" i="4"/>
  <c r="O13" i="4"/>
  <c r="U13" i="4"/>
  <c r="O14" i="4"/>
  <c r="U14" i="4" s="1"/>
  <c r="V14" i="4" s="1"/>
  <c r="O15" i="4"/>
  <c r="U15" i="4" s="1"/>
  <c r="V15" i="4" s="1"/>
  <c r="O16" i="4"/>
  <c r="U16" i="4"/>
  <c r="V16" i="4" s="1"/>
  <c r="Y16" i="4" s="1"/>
  <c r="O17" i="4"/>
  <c r="P17" i="4"/>
  <c r="O18" i="4"/>
  <c r="P18" i="4" s="1"/>
  <c r="X18" i="4" s="1"/>
  <c r="O19" i="4"/>
  <c r="U19" i="4" s="1"/>
  <c r="V19" i="4" s="1"/>
  <c r="W19" i="4" s="1"/>
  <c r="O20" i="4"/>
  <c r="O21" i="4"/>
  <c r="O22" i="4"/>
  <c r="P22" i="4" s="1"/>
  <c r="O23" i="4"/>
  <c r="U23" i="4" s="1"/>
  <c r="V23" i="4" s="1"/>
  <c r="O24" i="4"/>
  <c r="U24" i="4" s="1"/>
  <c r="O25" i="4"/>
  <c r="U25" i="4" s="1"/>
  <c r="O26" i="4"/>
  <c r="U26" i="4" s="1"/>
  <c r="O27" i="4"/>
  <c r="U27" i="4" s="1"/>
  <c r="O28" i="4"/>
  <c r="O29" i="4"/>
  <c r="I9" i="2"/>
  <c r="I10" i="2"/>
  <c r="I11" i="2"/>
  <c r="I12" i="2"/>
  <c r="I13" i="2"/>
  <c r="I14" i="2"/>
  <c r="I15" i="2"/>
  <c r="I16" i="2"/>
  <c r="I17" i="2"/>
  <c r="I18" i="2"/>
  <c r="I19" i="2"/>
  <c r="I20" i="2"/>
  <c r="I21" i="2"/>
  <c r="I22" i="2"/>
  <c r="I23" i="2"/>
  <c r="I24" i="2"/>
  <c r="I25" i="2"/>
  <c r="I26" i="2"/>
  <c r="I27" i="2"/>
  <c r="I28" i="2"/>
  <c r="I29" i="2"/>
  <c r="I30" i="2"/>
  <c r="I8" i="2"/>
  <c r="I7" i="2"/>
  <c r="I6" i="2"/>
  <c r="J6" i="2"/>
  <c r="C46" i="2"/>
  <c r="E46" i="2"/>
  <c r="F46" i="2"/>
  <c r="F47" i="2"/>
  <c r="F48" i="2"/>
  <c r="B46" i="2"/>
  <c r="B47" i="2"/>
  <c r="C47" i="2"/>
  <c r="E47" i="2"/>
  <c r="B48" i="2"/>
  <c r="C48" i="2"/>
  <c r="E48" i="2"/>
  <c r="D35" i="6"/>
  <c r="W7" i="2"/>
  <c r="W8" i="2"/>
  <c r="W9" i="2"/>
  <c r="W10" i="2"/>
  <c r="W11" i="2"/>
  <c r="W12" i="2"/>
  <c r="W14" i="2"/>
  <c r="W15" i="2"/>
  <c r="W16" i="2"/>
  <c r="W17" i="2"/>
  <c r="W18" i="2"/>
  <c r="W19" i="2"/>
  <c r="W20" i="2"/>
  <c r="W21" i="2"/>
  <c r="W22" i="2"/>
  <c r="W23" i="2"/>
  <c r="W24" i="2"/>
  <c r="W25" i="2"/>
  <c r="W26" i="2"/>
  <c r="W27" i="2"/>
  <c r="W28" i="2"/>
  <c r="W29" i="2"/>
  <c r="W30" i="2"/>
  <c r="A2" i="6"/>
  <c r="C20" i="8"/>
  <c r="E20" i="8"/>
  <c r="F20" i="8"/>
  <c r="C21" i="8"/>
  <c r="E21" i="8"/>
  <c r="F21" i="8"/>
  <c r="C22" i="8"/>
  <c r="E22" i="8"/>
  <c r="M22" i="8" s="1"/>
  <c r="F22" i="8"/>
  <c r="C23" i="8"/>
  <c r="E23" i="8"/>
  <c r="F23" i="8"/>
  <c r="C24" i="8"/>
  <c r="E24" i="8"/>
  <c r="F24" i="8"/>
  <c r="C25" i="8"/>
  <c r="E25" i="8"/>
  <c r="F25" i="8"/>
  <c r="C26" i="8"/>
  <c r="E26" i="8"/>
  <c r="F26" i="8"/>
  <c r="C27" i="8"/>
  <c r="E27" i="8"/>
  <c r="F27" i="8"/>
  <c r="C28" i="8"/>
  <c r="E28" i="8"/>
  <c r="F28" i="8"/>
  <c r="C29" i="8"/>
  <c r="E29" i="8"/>
  <c r="F29" i="8"/>
  <c r="B21" i="8"/>
  <c r="B22" i="8"/>
  <c r="B23" i="8"/>
  <c r="B24" i="8"/>
  <c r="B25" i="8"/>
  <c r="B26" i="8"/>
  <c r="B27" i="8"/>
  <c r="B28" i="8"/>
  <c r="B29" i="8"/>
  <c r="B20" i="8"/>
  <c r="C37" i="2"/>
  <c r="E37" i="2"/>
  <c r="F37" i="2"/>
  <c r="C38" i="2"/>
  <c r="E38" i="2"/>
  <c r="F38" i="2"/>
  <c r="C39" i="2"/>
  <c r="E39" i="2"/>
  <c r="F39" i="2"/>
  <c r="C40" i="2"/>
  <c r="E40" i="2"/>
  <c r="F40" i="2"/>
  <c r="C41" i="2"/>
  <c r="E41" i="2"/>
  <c r="F41" i="2"/>
  <c r="C42" i="2"/>
  <c r="E42" i="2"/>
  <c r="F42" i="2"/>
  <c r="C43" i="2"/>
  <c r="E43" i="2"/>
  <c r="F43" i="2"/>
  <c r="C44" i="2"/>
  <c r="E44" i="2"/>
  <c r="F44" i="2"/>
  <c r="C45" i="2"/>
  <c r="E45" i="2"/>
  <c r="F45" i="2"/>
  <c r="C49" i="2"/>
  <c r="E49" i="2"/>
  <c r="F49" i="2"/>
  <c r="C50" i="2"/>
  <c r="E50" i="2"/>
  <c r="F50" i="2"/>
  <c r="C51" i="2"/>
  <c r="E51" i="2"/>
  <c r="F51" i="2"/>
  <c r="C52" i="2"/>
  <c r="E52" i="2"/>
  <c r="F52" i="2"/>
  <c r="C53" i="2"/>
  <c r="E53" i="2"/>
  <c r="F53" i="2"/>
  <c r="C54" i="2"/>
  <c r="E54" i="2"/>
  <c r="F54" i="2"/>
  <c r="C55" i="2"/>
  <c r="E55" i="2"/>
  <c r="F55" i="2"/>
  <c r="C56" i="2"/>
  <c r="E56" i="2"/>
  <c r="F56" i="2"/>
  <c r="C57" i="2"/>
  <c r="E57" i="2"/>
  <c r="F57" i="2"/>
  <c r="C58" i="2"/>
  <c r="E58" i="2"/>
  <c r="F58" i="2"/>
  <c r="C59" i="2"/>
  <c r="E59" i="2"/>
  <c r="F59" i="2"/>
  <c r="C60" i="2"/>
  <c r="E60" i="2"/>
  <c r="F60" i="2"/>
  <c r="C61" i="2"/>
  <c r="E61" i="2"/>
  <c r="F61" i="2"/>
  <c r="B38" i="2"/>
  <c r="B39" i="2"/>
  <c r="B40" i="2"/>
  <c r="B41" i="2"/>
  <c r="B42" i="2"/>
  <c r="B43" i="2"/>
  <c r="B44" i="2"/>
  <c r="B45" i="2"/>
  <c r="B49" i="2"/>
  <c r="B50" i="2"/>
  <c r="B51" i="2"/>
  <c r="B52" i="2"/>
  <c r="B53" i="2"/>
  <c r="B54" i="2"/>
  <c r="B55" i="2"/>
  <c r="B56" i="2"/>
  <c r="B57" i="2"/>
  <c r="B58" i="2"/>
  <c r="B59" i="2"/>
  <c r="B60" i="2"/>
  <c r="B61" i="2"/>
  <c r="B37" i="2"/>
  <c r="E34" i="2"/>
  <c r="F34" i="6"/>
  <c r="G34" i="6"/>
  <c r="J34" i="6"/>
  <c r="F35" i="6"/>
  <c r="G35" i="6"/>
  <c r="J35" i="6" s="1"/>
  <c r="F36" i="6"/>
  <c r="G36" i="6"/>
  <c r="J36" i="6" s="1"/>
  <c r="F37" i="6"/>
  <c r="G37" i="6"/>
  <c r="J37" i="6" s="1"/>
  <c r="D36" i="6"/>
  <c r="D37" i="6"/>
  <c r="D34" i="6"/>
  <c r="C34" i="6"/>
  <c r="B35" i="6"/>
  <c r="B36" i="6"/>
  <c r="B37" i="6"/>
  <c r="B34" i="6"/>
  <c r="D28" i="6"/>
  <c r="F28" i="6"/>
  <c r="G28" i="6"/>
  <c r="H28" i="6"/>
  <c r="I28" i="6"/>
  <c r="J28" i="6"/>
  <c r="K28" i="6"/>
  <c r="L28" i="6"/>
  <c r="M28" i="6"/>
  <c r="N28" i="6"/>
  <c r="O28" i="6"/>
  <c r="P28" i="6"/>
  <c r="C28" i="6"/>
  <c r="C27" i="6"/>
  <c r="C31" i="6"/>
  <c r="M37" i="6"/>
  <c r="M36" i="6"/>
  <c r="M35" i="6"/>
  <c r="M34" i="6"/>
  <c r="M33" i="6"/>
  <c r="M32" i="6"/>
  <c r="C30" i="6"/>
  <c r="P27" i="6"/>
  <c r="O27" i="6"/>
  <c r="L27" i="6"/>
  <c r="K27" i="6"/>
  <c r="I27" i="6"/>
  <c r="G27" i="6"/>
  <c r="F27" i="6"/>
  <c r="D27" i="6"/>
  <c r="M29" i="4"/>
  <c r="N29" i="4"/>
  <c r="M28" i="4"/>
  <c r="N28" i="4"/>
  <c r="M27" i="4"/>
  <c r="N27" i="4"/>
  <c r="M26" i="4"/>
  <c r="N26" i="4"/>
  <c r="M25" i="4"/>
  <c r="N25" i="4"/>
  <c r="M24" i="4"/>
  <c r="N24" i="4"/>
  <c r="M23" i="4"/>
  <c r="N23" i="4"/>
  <c r="M22" i="4"/>
  <c r="M21" i="4"/>
  <c r="N21" i="4"/>
  <c r="M20" i="4"/>
  <c r="N20" i="4"/>
  <c r="M19" i="4"/>
  <c r="N19" i="4"/>
  <c r="M18" i="4"/>
  <c r="M17" i="4"/>
  <c r="N17" i="4"/>
  <c r="M16" i="4"/>
  <c r="N16" i="4"/>
  <c r="M15" i="4"/>
  <c r="N15" i="4"/>
  <c r="M14" i="4"/>
  <c r="M13" i="4"/>
  <c r="N13" i="4"/>
  <c r="M12" i="4"/>
  <c r="N12" i="4"/>
  <c r="M11" i="4"/>
  <c r="N11" i="4"/>
  <c r="M10" i="4"/>
  <c r="M9" i="4"/>
  <c r="N9" i="4"/>
  <c r="M8" i="4"/>
  <c r="N8" i="4"/>
  <c r="M7" i="4"/>
  <c r="N7" i="4"/>
  <c r="M6" i="4"/>
  <c r="N6" i="4"/>
  <c r="O6" i="4"/>
  <c r="M5" i="4"/>
  <c r="N5" i="4"/>
  <c r="M24" i="6"/>
  <c r="L24" i="6"/>
  <c r="K24" i="6"/>
  <c r="J24" i="6"/>
  <c r="I24" i="6"/>
  <c r="G24" i="6"/>
  <c r="F24" i="6"/>
  <c r="D24" i="6"/>
  <c r="P4" i="6"/>
  <c r="O4" i="6"/>
  <c r="L4" i="6"/>
  <c r="K4" i="6"/>
  <c r="I4" i="6"/>
  <c r="G4" i="6"/>
  <c r="F4" i="6"/>
  <c r="D4" i="6"/>
  <c r="A2" i="5"/>
  <c r="A2" i="4"/>
  <c r="A2" i="8"/>
  <c r="A2" i="2"/>
  <c r="C6" i="7"/>
  <c r="J7" i="8"/>
  <c r="L7" i="8" s="1"/>
  <c r="J8" i="8"/>
  <c r="K8" i="8"/>
  <c r="O8" i="8" s="1"/>
  <c r="J9" i="8"/>
  <c r="J13" i="8"/>
  <c r="J28" i="8" s="1"/>
  <c r="M28" i="8" s="1"/>
  <c r="J10" i="8"/>
  <c r="K10" i="8" s="1"/>
  <c r="O10" i="8" s="1"/>
  <c r="J11" i="8"/>
  <c r="K11" i="8"/>
  <c r="J12" i="8"/>
  <c r="K12" i="8" s="1"/>
  <c r="O12" i="8" s="1"/>
  <c r="J14" i="8"/>
  <c r="J29" i="8"/>
  <c r="M29" i="8" s="1"/>
  <c r="N18" i="4"/>
  <c r="N22" i="4"/>
  <c r="N30" i="4" s="1"/>
  <c r="I10" i="5"/>
  <c r="O10" i="5" s="1"/>
  <c r="I11" i="5"/>
  <c r="O11" i="5"/>
  <c r="I12" i="5"/>
  <c r="M12" i="5"/>
  <c r="I13" i="5"/>
  <c r="O13" i="5"/>
  <c r="P13" i="5" s="1"/>
  <c r="Q13" i="5" s="1"/>
  <c r="I14" i="5"/>
  <c r="J14" i="5" s="1"/>
  <c r="R14" i="5" s="1"/>
  <c r="I15" i="5"/>
  <c r="J15" i="5"/>
  <c r="R15" i="5" s="1"/>
  <c r="I16" i="5"/>
  <c r="I20" i="5" s="1"/>
  <c r="I17" i="5"/>
  <c r="I18" i="5"/>
  <c r="O18" i="5" s="1"/>
  <c r="P18" i="5" s="1"/>
  <c r="S18" i="5" s="1"/>
  <c r="I19" i="5"/>
  <c r="J28" i="2"/>
  <c r="B35" i="12" s="1"/>
  <c r="J16" i="2"/>
  <c r="B23" i="12"/>
  <c r="J17" i="2"/>
  <c r="B24" i="12" s="1"/>
  <c r="J18" i="2"/>
  <c r="J31" i="2" s="1"/>
  <c r="J19" i="2"/>
  <c r="J20" i="2"/>
  <c r="B27" i="12"/>
  <c r="J21" i="2"/>
  <c r="B28" i="12" s="1"/>
  <c r="J22" i="2"/>
  <c r="J23" i="2"/>
  <c r="J24" i="2"/>
  <c r="L24" i="2"/>
  <c r="J25" i="2"/>
  <c r="L25" i="2" s="1"/>
  <c r="M25" i="2"/>
  <c r="N25" i="2" s="1"/>
  <c r="J26" i="2"/>
  <c r="L26" i="2"/>
  <c r="J27" i="2"/>
  <c r="B34" i="12" s="1"/>
  <c r="J29" i="2"/>
  <c r="B36" i="12"/>
  <c r="J30" i="2"/>
  <c r="B37" i="12"/>
  <c r="J15" i="2"/>
  <c r="L15" i="2"/>
  <c r="P15" i="2" s="1"/>
  <c r="J14" i="2"/>
  <c r="B21" i="12" s="1"/>
  <c r="J13" i="2"/>
  <c r="L13" i="2"/>
  <c r="J12" i="2"/>
  <c r="B19" i="12"/>
  <c r="J11" i="2"/>
  <c r="L11" i="2"/>
  <c r="J9" i="2"/>
  <c r="B16" i="12" s="1"/>
  <c r="J8" i="2"/>
  <c r="B15" i="12"/>
  <c r="J7" i="2"/>
  <c r="B14" i="12"/>
  <c r="D8" i="6"/>
  <c r="D6" i="6"/>
  <c r="I6" i="5"/>
  <c r="J6" i="5" s="1"/>
  <c r="I7" i="5"/>
  <c r="J7" i="5"/>
  <c r="K7" i="5" s="1"/>
  <c r="L7" i="5" s="1"/>
  <c r="I8" i="5"/>
  <c r="O8" i="5"/>
  <c r="I9" i="5"/>
  <c r="O9" i="5"/>
  <c r="C8" i="6"/>
  <c r="C10" i="3"/>
  <c r="C8" i="3"/>
  <c r="C7" i="3"/>
  <c r="C6" i="3"/>
  <c r="C5" i="3"/>
  <c r="J10" i="2"/>
  <c r="B17" i="12"/>
  <c r="N10" i="4"/>
  <c r="N14" i="4"/>
  <c r="C4" i="7"/>
  <c r="J6" i="8"/>
  <c r="K6" i="8" s="1"/>
  <c r="O6" i="8" s="1"/>
  <c r="J5" i="8"/>
  <c r="L5" i="8"/>
  <c r="J14" i="6"/>
  <c r="K14" i="6"/>
  <c r="N14" i="6"/>
  <c r="J15" i="6"/>
  <c r="K15" i="6"/>
  <c r="N15" i="6"/>
  <c r="O15" i="6" s="1"/>
  <c r="J16" i="6"/>
  <c r="K16" i="6"/>
  <c r="J13" i="6"/>
  <c r="K13" i="6"/>
  <c r="N13" i="6"/>
  <c r="I5" i="5"/>
  <c r="M5" i="5"/>
  <c r="R15" i="6"/>
  <c r="R14" i="6"/>
  <c r="R17" i="6" s="1"/>
  <c r="C9" i="6"/>
  <c r="M18" i="6"/>
  <c r="M19" i="6"/>
  <c r="M20" i="6"/>
  <c r="M21" i="6"/>
  <c r="H25" i="7"/>
  <c r="R16" i="6"/>
  <c r="Q10" i="8"/>
  <c r="Q6" i="8"/>
  <c r="R13" i="6"/>
  <c r="Q9" i="8"/>
  <c r="V51" i="2"/>
  <c r="V47" i="2"/>
  <c r="V61" i="2"/>
  <c r="V56" i="2"/>
  <c r="V52" i="2"/>
  <c r="V54" i="2"/>
  <c r="V41" i="2"/>
  <c r="V37" i="2"/>
  <c r="V46" i="2"/>
  <c r="V38" i="2"/>
  <c r="V48" i="2"/>
  <c r="Q7" i="8"/>
  <c r="Q11" i="8"/>
  <c r="V45" i="2"/>
  <c r="V40" i="2"/>
  <c r="V60" i="2"/>
  <c r="V58" i="2"/>
  <c r="V53" i="2"/>
  <c r="V57" i="2"/>
  <c r="V50" i="2"/>
  <c r="Q13" i="8"/>
  <c r="Q8" i="8"/>
  <c r="Q12" i="8"/>
  <c r="Q14" i="8"/>
  <c r="V42" i="2"/>
  <c r="V59" i="2"/>
  <c r="V49" i="2"/>
  <c r="V62" i="2" s="1"/>
  <c r="V55" i="2"/>
  <c r="V43" i="2"/>
  <c r="V39" i="2"/>
  <c r="V44" i="2"/>
  <c r="W13" i="2"/>
  <c r="W6" i="2"/>
  <c r="M8" i="5"/>
  <c r="B2" i="12"/>
  <c r="C23" i="12" s="1"/>
  <c r="K7" i="2"/>
  <c r="K14" i="2"/>
  <c r="K24" i="2"/>
  <c r="K26" i="2"/>
  <c r="K15" i="2"/>
  <c r="K10" i="2"/>
  <c r="K9" i="2"/>
  <c r="L9" i="2"/>
  <c r="L40" i="2" s="1"/>
  <c r="K21" i="2"/>
  <c r="K27" i="2"/>
  <c r="K22" i="2"/>
  <c r="K25" i="2"/>
  <c r="K30" i="2"/>
  <c r="K12" i="2"/>
  <c r="L12" i="2"/>
  <c r="M12" i="2" s="1"/>
  <c r="K29" i="2"/>
  <c r="K19" i="2"/>
  <c r="K20" i="2"/>
  <c r="K28" i="2"/>
  <c r="K23" i="2"/>
  <c r="K11" i="2"/>
  <c r="K18" i="2"/>
  <c r="K13" i="2"/>
  <c r="K16" i="2"/>
  <c r="K17" i="2"/>
  <c r="K8" i="2"/>
  <c r="K6" i="2"/>
  <c r="D30" i="6"/>
  <c r="D29" i="6"/>
  <c r="L27" i="2"/>
  <c r="P27" i="2"/>
  <c r="L30" i="2"/>
  <c r="L61" i="2"/>
  <c r="M61" i="2" s="1"/>
  <c r="U61" i="2"/>
  <c r="L14" i="2"/>
  <c r="P14" i="2"/>
  <c r="J26" i="8"/>
  <c r="M26" i="8"/>
  <c r="J23" i="8"/>
  <c r="M23" i="8" s="1"/>
  <c r="M40" i="2"/>
  <c r="U40" i="2" s="1"/>
  <c r="L20" i="2"/>
  <c r="L8" i="2"/>
  <c r="P8" i="2"/>
  <c r="P14" i="4"/>
  <c r="U22" i="4"/>
  <c r="L6" i="2"/>
  <c r="L37" i="2" s="1"/>
  <c r="M37" i="2" s="1"/>
  <c r="B13" i="12"/>
  <c r="J5" i="5"/>
  <c r="U18" i="4"/>
  <c r="V18" i="4"/>
  <c r="Y18" i="4" s="1"/>
  <c r="P13" i="4"/>
  <c r="P9" i="4"/>
  <c r="X9" i="4" s="1"/>
  <c r="P26" i="4"/>
  <c r="X26" i="4" s="1"/>
  <c r="P25" i="4"/>
  <c r="X25" i="4" s="1"/>
  <c r="J22" i="8"/>
  <c r="B32" i="12"/>
  <c r="B22" i="12"/>
  <c r="M6" i="5"/>
  <c r="J11" i="5"/>
  <c r="R11" i="5"/>
  <c r="M11" i="5"/>
  <c r="M14" i="5"/>
  <c r="N14" i="5" s="1"/>
  <c r="M15" i="5"/>
  <c r="M7" i="5"/>
  <c r="O14" i="5"/>
  <c r="K14" i="5"/>
  <c r="M9" i="5"/>
  <c r="O15" i="5"/>
  <c r="P15" i="5"/>
  <c r="S15" i="5" s="1"/>
  <c r="O7" i="5"/>
  <c r="J13" i="5"/>
  <c r="K13" i="5" s="1"/>
  <c r="L13" i="5" s="1"/>
  <c r="M18" i="5"/>
  <c r="M13" i="5"/>
  <c r="O6" i="5"/>
  <c r="J12" i="5"/>
  <c r="R12" i="5"/>
  <c r="O5" i="5"/>
  <c r="O12" i="5"/>
  <c r="J18" i="5"/>
  <c r="K18" i="5" s="1"/>
  <c r="J10" i="5"/>
  <c r="J9" i="5"/>
  <c r="M10" i="5"/>
  <c r="J8" i="5"/>
  <c r="P23" i="4"/>
  <c r="X23" i="4"/>
  <c r="P15" i="4"/>
  <c r="X15" i="4" s="1"/>
  <c r="P7" i="4"/>
  <c r="P12" i="4"/>
  <c r="P27" i="4"/>
  <c r="X27" i="4"/>
  <c r="P19" i="4"/>
  <c r="X19" i="4"/>
  <c r="P11" i="4"/>
  <c r="X11" i="4" s="1"/>
  <c r="P10" i="4"/>
  <c r="X10" i="4"/>
  <c r="U17" i="4"/>
  <c r="V17" i="4"/>
  <c r="Y17" i="4" s="1"/>
  <c r="P24" i="4"/>
  <c r="X24" i="4" s="1"/>
  <c r="P16" i="4"/>
  <c r="X16" i="4"/>
  <c r="P8" i="4"/>
  <c r="X8" i="4" s="1"/>
  <c r="J21" i="8"/>
  <c r="J25" i="8"/>
  <c r="M25" i="8" s="1"/>
  <c r="J27" i="8"/>
  <c r="M27" i="8"/>
  <c r="L14" i="8"/>
  <c r="K7" i="8"/>
  <c r="O7" i="8" s="1"/>
  <c r="L13" i="8"/>
  <c r="K14" i="8"/>
  <c r="O14" i="8"/>
  <c r="L12" i="8"/>
  <c r="M12" i="8" s="1"/>
  <c r="P12" i="8" s="1"/>
  <c r="N12" i="8"/>
  <c r="K13" i="8"/>
  <c r="O13" i="8" s="1"/>
  <c r="L11" i="8"/>
  <c r="L10" i="8"/>
  <c r="M10" i="8" s="1"/>
  <c r="N10" i="8" s="1"/>
  <c r="L8" i="8"/>
  <c r="M8" i="8" s="1"/>
  <c r="P8" i="8"/>
  <c r="L7" i="2"/>
  <c r="P7" i="2"/>
  <c r="B18" i="12"/>
  <c r="L10" i="2"/>
  <c r="L41" i="2" s="1"/>
  <c r="M41" i="2" s="1"/>
  <c r="U41" i="2" s="1"/>
  <c r="L21" i="2"/>
  <c r="P21" i="2"/>
  <c r="B33" i="12"/>
  <c r="M24" i="2"/>
  <c r="O24" i="2" s="1"/>
  <c r="N24" i="2"/>
  <c r="R24" i="2"/>
  <c r="S24" i="2" s="1"/>
  <c r="V24" i="2" s="1"/>
  <c r="P24" i="2"/>
  <c r="L55" i="2"/>
  <c r="M55" i="2" s="1"/>
  <c r="U55" i="2" s="1"/>
  <c r="M13" i="2"/>
  <c r="U13" i="2"/>
  <c r="R13" i="2"/>
  <c r="M15" i="2"/>
  <c r="T15" i="2" s="1"/>
  <c r="R15" i="2"/>
  <c r="L16" i="2"/>
  <c r="P16" i="2" s="1"/>
  <c r="L29" i="2"/>
  <c r="L60" i="2"/>
  <c r="B20" i="12"/>
  <c r="B31" i="12"/>
  <c r="R30" i="2"/>
  <c r="R14" i="2"/>
  <c r="M30" i="2"/>
  <c r="M14" i="2"/>
  <c r="U14" i="2" s="1"/>
  <c r="R12" i="2"/>
  <c r="C25" i="12"/>
  <c r="L45" i="2"/>
  <c r="M45" i="2"/>
  <c r="U45" i="2"/>
  <c r="R27" i="2"/>
  <c r="M27" i="2"/>
  <c r="N27" i="2"/>
  <c r="O27" i="2" s="1"/>
  <c r="M9" i="2"/>
  <c r="R6" i="2"/>
  <c r="M7" i="2"/>
  <c r="U7" i="2" s="1"/>
  <c r="K37" i="6"/>
  <c r="L37" i="6" s="1"/>
  <c r="K35" i="6"/>
  <c r="L35" i="6"/>
  <c r="K36" i="6"/>
  <c r="L15" i="6"/>
  <c r="Q15" i="6" s="1"/>
  <c r="L14" i="6"/>
  <c r="Q14" i="6"/>
  <c r="N24" i="6"/>
  <c r="K15" i="5"/>
  <c r="J20" i="8"/>
  <c r="M20" i="8" s="1"/>
  <c r="K5" i="8"/>
  <c r="O5" i="8" s="1"/>
  <c r="K17" i="6"/>
  <c r="K34" i="6"/>
  <c r="L13" i="6"/>
  <c r="O13" i="6"/>
  <c r="L44" i="2"/>
  <c r="M44" i="2" s="1"/>
  <c r="P9" i="2"/>
  <c r="P13" i="2"/>
  <c r="L46" i="2"/>
  <c r="M46" i="2" s="1"/>
  <c r="U46" i="2" s="1"/>
  <c r="L58" i="2"/>
  <c r="M58" i="2" s="1"/>
  <c r="U58" i="2" s="1"/>
  <c r="V8" i="4"/>
  <c r="Y8" i="4" s="1"/>
  <c r="C17" i="12"/>
  <c r="C20" i="12"/>
  <c r="U44" i="2"/>
  <c r="L43" i="2"/>
  <c r="M43" i="2"/>
  <c r="U43" i="2" s="1"/>
  <c r="P30" i="2"/>
  <c r="C28" i="12"/>
  <c r="D5" i="12"/>
  <c r="U24" i="2"/>
  <c r="C30" i="12"/>
  <c r="D8" i="12"/>
  <c r="P12" i="2"/>
  <c r="D9" i="12"/>
  <c r="Y19" i="4"/>
  <c r="O5" i="4"/>
  <c r="P20" i="2"/>
  <c r="L39" i="2"/>
  <c r="M8" i="2"/>
  <c r="U8" i="2" s="1"/>
  <c r="R8" i="2"/>
  <c r="N13" i="2"/>
  <c r="X14" i="4"/>
  <c r="W16" i="4"/>
  <c r="R30" i="4"/>
  <c r="E20" i="7" s="1"/>
  <c r="R10" i="2"/>
  <c r="R21" i="2"/>
  <c r="S21" i="2" s="1"/>
  <c r="V21" i="2" s="1"/>
  <c r="V10" i="4"/>
  <c r="Y10" i="4" s="1"/>
  <c r="V11" i="4"/>
  <c r="W11" i="4" s="1"/>
  <c r="V27" i="4"/>
  <c r="Y27" i="4" s="1"/>
  <c r="V26" i="4"/>
  <c r="W26" i="4" s="1"/>
  <c r="W18" i="4"/>
  <c r="N14" i="2"/>
  <c r="O14" i="2"/>
  <c r="L47" i="2"/>
  <c r="M47" i="2"/>
  <c r="U47" i="2" s="1"/>
  <c r="L38" i="2"/>
  <c r="M38" i="2"/>
  <c r="U38" i="2" s="1"/>
  <c r="P10" i="5"/>
  <c r="Q10" i="5" s="1"/>
  <c r="P11" i="5"/>
  <c r="S11" i="5"/>
  <c r="K11" i="5"/>
  <c r="L11" i="5"/>
  <c r="P12" i="5"/>
  <c r="Q12" i="5" s="1"/>
  <c r="S12" i="5"/>
  <c r="K12" i="5"/>
  <c r="N12" i="5"/>
  <c r="S13" i="5"/>
  <c r="K9" i="5"/>
  <c r="L9" i="5"/>
  <c r="R9" i="5"/>
  <c r="N7" i="5"/>
  <c r="L18" i="5"/>
  <c r="R18" i="5"/>
  <c r="R13" i="5"/>
  <c r="X12" i="4"/>
  <c r="V12" i="4"/>
  <c r="O30" i="4"/>
  <c r="U5" i="4"/>
  <c r="P5" i="4"/>
  <c r="X7" i="4"/>
  <c r="V7" i="4"/>
  <c r="Y7" i="4"/>
  <c r="Y23" i="4"/>
  <c r="M13" i="8"/>
  <c r="P13" i="8"/>
  <c r="N8" i="8"/>
  <c r="M14" i="8"/>
  <c r="P14" i="8" s="1"/>
  <c r="M21" i="2"/>
  <c r="L52" i="2"/>
  <c r="M52" i="2" s="1"/>
  <c r="U52" i="2" s="1"/>
  <c r="S14" i="2"/>
  <c r="R7" i="2"/>
  <c r="S13" i="2"/>
  <c r="V13" i="2"/>
  <c r="S27" i="2"/>
  <c r="T27" i="2" s="1"/>
  <c r="Q24" i="2"/>
  <c r="U27" i="2"/>
  <c r="M16" i="2"/>
  <c r="N16" i="2"/>
  <c r="O16" i="2" s="1"/>
  <c r="R16" i="2"/>
  <c r="P29" i="2"/>
  <c r="M29" i="2"/>
  <c r="U29" i="2"/>
  <c r="R29" i="2"/>
  <c r="O14" i="6"/>
  <c r="L15" i="5"/>
  <c r="N15" i="5"/>
  <c r="L34" i="6"/>
  <c r="S13" i="6"/>
  <c r="P13" i="6"/>
  <c r="Q13" i="6"/>
  <c r="S15" i="2"/>
  <c r="V15" i="2" s="1"/>
  <c r="O13" i="2"/>
  <c r="Q13" i="2"/>
  <c r="O25" i="2"/>
  <c r="S30" i="2"/>
  <c r="V30" i="2"/>
  <c r="U30" i="2"/>
  <c r="N30" i="2"/>
  <c r="Q30" i="2"/>
  <c r="U9" i="2"/>
  <c r="N9" i="2"/>
  <c r="Q9" i="2" s="1"/>
  <c r="N8" i="2"/>
  <c r="Q8" i="2"/>
  <c r="W9" i="4"/>
  <c r="W7" i="4"/>
  <c r="Q5" i="4"/>
  <c r="Q30" i="4"/>
  <c r="E21" i="7" s="1"/>
  <c r="T24" i="2"/>
  <c r="W27" i="4"/>
  <c r="Y26" i="4"/>
  <c r="Y11" i="4"/>
  <c r="Q14" i="2"/>
  <c r="N11" i="5"/>
  <c r="Q11" i="5"/>
  <c r="L12" i="5"/>
  <c r="N9" i="5"/>
  <c r="N18" i="5"/>
  <c r="N13" i="5"/>
  <c r="W23" i="4"/>
  <c r="Y15" i="4"/>
  <c r="W15" i="4"/>
  <c r="N14" i="8"/>
  <c r="N13" i="8"/>
  <c r="O8" i="2"/>
  <c r="N21" i="2"/>
  <c r="U21" i="2"/>
  <c r="T13" i="2"/>
  <c r="S16" i="2"/>
  <c r="V16" i="2" s="1"/>
  <c r="S29" i="2"/>
  <c r="T29" i="2" s="1"/>
  <c r="V27" i="2"/>
  <c r="N29" i="2"/>
  <c r="O29" i="2" s="1"/>
  <c r="U16" i="2"/>
  <c r="S14" i="6"/>
  <c r="P14" i="6"/>
  <c r="B45" i="6"/>
  <c r="O30" i="2"/>
  <c r="T30" i="2"/>
  <c r="O9" i="2"/>
  <c r="V5" i="4"/>
  <c r="X5" i="4"/>
  <c r="Y5" i="4"/>
  <c r="S5" i="4"/>
  <c r="T16" i="2"/>
  <c r="Q29" i="2"/>
  <c r="E10" i="7"/>
  <c r="E11" i="7"/>
  <c r="G11" i="7" s="1"/>
  <c r="Q5" i="8"/>
  <c r="Q15" i="8" s="1"/>
  <c r="C33" i="8"/>
  <c r="C34" i="8" s="1"/>
  <c r="H17" i="7" s="1"/>
  <c r="F30" i="7" s="1"/>
  <c r="W5" i="4"/>
  <c r="F11" i="7"/>
  <c r="B44" i="6"/>
  <c r="B46" i="6" s="1"/>
  <c r="B47" i="6" s="1"/>
  <c r="H10" i="7" s="1"/>
  <c r="F31" i="7" s="1"/>
  <c r="F10" i="7"/>
  <c r="G10" i="7"/>
  <c r="Y14" i="4" l="1"/>
  <c r="W14" i="4"/>
  <c r="Y12" i="4"/>
  <c r="W12" i="4"/>
  <c r="S15" i="6"/>
  <c r="S17" i="6" s="1"/>
  <c r="Q21" i="2"/>
  <c r="O21" i="2"/>
  <c r="V14" i="2"/>
  <c r="T14" i="2"/>
  <c r="U37" i="2"/>
  <c r="G21" i="7"/>
  <c r="D21" i="7" s="1"/>
  <c r="O20" i="5"/>
  <c r="D10" i="7"/>
  <c r="T21" i="2"/>
  <c r="L36" i="6"/>
  <c r="L38" i="6" s="1"/>
  <c r="K38" i="6"/>
  <c r="K5" i="5"/>
  <c r="L5" i="5" s="1"/>
  <c r="Q5" i="5"/>
  <c r="N12" i="2"/>
  <c r="Q12" i="2" s="1"/>
  <c r="U12" i="2"/>
  <c r="K31" i="2"/>
  <c r="R26" i="2"/>
  <c r="P26" i="2"/>
  <c r="W22" i="4"/>
  <c r="X22" i="4"/>
  <c r="V22" i="4"/>
  <c r="Y22" i="4" s="1"/>
  <c r="U25" i="2"/>
  <c r="R5" i="5"/>
  <c r="S10" i="5"/>
  <c r="C21" i="12"/>
  <c r="S12" i="2"/>
  <c r="V12" i="2" s="1"/>
  <c r="M20" i="2"/>
  <c r="R20" i="2"/>
  <c r="L51" i="2"/>
  <c r="M51" i="2" s="1"/>
  <c r="U51" i="2" s="1"/>
  <c r="W31" i="2"/>
  <c r="C65" i="2" s="1"/>
  <c r="C66" i="2" s="1"/>
  <c r="H16" i="7" s="1"/>
  <c r="J19" i="5"/>
  <c r="M19" i="5"/>
  <c r="O19" i="5"/>
  <c r="P19" i="5" s="1"/>
  <c r="S19" i="5" s="1"/>
  <c r="U29" i="4"/>
  <c r="P29" i="4"/>
  <c r="U21" i="4"/>
  <c r="P21" i="4"/>
  <c r="M11" i="2"/>
  <c r="R11" i="2"/>
  <c r="P11" i="2"/>
  <c r="L9" i="8"/>
  <c r="M9" i="8" s="1"/>
  <c r="P9" i="8" s="1"/>
  <c r="J15" i="8"/>
  <c r="K9" i="8"/>
  <c r="U28" i="4"/>
  <c r="P28" i="4"/>
  <c r="P20" i="4"/>
  <c r="U20" i="4"/>
  <c r="T30" i="4"/>
  <c r="F20" i="7" s="1"/>
  <c r="G20" i="7" s="1"/>
  <c r="D20" i="7" s="1"/>
  <c r="N5" i="8"/>
  <c r="P15" i="6"/>
  <c r="P10" i="8"/>
  <c r="P9" i="5"/>
  <c r="L42" i="2"/>
  <c r="M42" i="2" s="1"/>
  <c r="U42" i="2" s="1"/>
  <c r="M60" i="2"/>
  <c r="U60" i="2" s="1"/>
  <c r="P6" i="5"/>
  <c r="S6" i="5" s="1"/>
  <c r="Q27" i="2"/>
  <c r="R25" i="2"/>
  <c r="S25" i="2" s="1"/>
  <c r="V25" i="2" s="1"/>
  <c r="L56" i="2"/>
  <c r="M56" i="2" s="1"/>
  <c r="U56" i="2" s="1"/>
  <c r="P25" i="2"/>
  <c r="Q25" i="2" s="1"/>
  <c r="B26" i="12"/>
  <c r="L19" i="2"/>
  <c r="J17" i="5"/>
  <c r="O17" i="5"/>
  <c r="P17" i="5" s="1"/>
  <c r="S17" i="5" s="1"/>
  <c r="M17" i="5"/>
  <c r="V13" i="4"/>
  <c r="Y13" i="4" s="1"/>
  <c r="R8" i="5"/>
  <c r="B25" i="12"/>
  <c r="L18" i="2"/>
  <c r="J16" i="5"/>
  <c r="O16" i="5"/>
  <c r="P16" i="5" s="1"/>
  <c r="S16" i="5" s="1"/>
  <c r="M16" i="5"/>
  <c r="O11" i="8"/>
  <c r="M11" i="8"/>
  <c r="P11" i="8" s="1"/>
  <c r="N11" i="8"/>
  <c r="K15" i="8"/>
  <c r="E17" i="7" s="1"/>
  <c r="N6" i="8"/>
  <c r="V29" i="2"/>
  <c r="O15" i="2"/>
  <c r="M5" i="8"/>
  <c r="S7" i="2"/>
  <c r="S8" i="2"/>
  <c r="L57" i="2"/>
  <c r="M57" i="2" s="1"/>
  <c r="U57" i="2" s="1"/>
  <c r="Q16" i="2"/>
  <c r="M21" i="8"/>
  <c r="M30" i="8" s="1"/>
  <c r="R10" i="5"/>
  <c r="K10" i="5"/>
  <c r="P14" i="5"/>
  <c r="X13" i="4"/>
  <c r="N16" i="6"/>
  <c r="O16" i="6" s="1"/>
  <c r="S16" i="6" s="1"/>
  <c r="L16" i="6"/>
  <c r="M7" i="8"/>
  <c r="P7" i="8" s="1"/>
  <c r="U6" i="4"/>
  <c r="V6" i="4" s="1"/>
  <c r="P6" i="4"/>
  <c r="X17" i="4"/>
  <c r="W17" i="4"/>
  <c r="K6" i="5"/>
  <c r="N6" i="5" s="1"/>
  <c r="R6" i="5"/>
  <c r="W10" i="4"/>
  <c r="N7" i="2"/>
  <c r="O7" i="2" s="1"/>
  <c r="Q15" i="5"/>
  <c r="K8" i="5"/>
  <c r="N8" i="5" s="1"/>
  <c r="Q18" i="5"/>
  <c r="C37" i="12"/>
  <c r="M26" i="2"/>
  <c r="L28" i="2"/>
  <c r="P8" i="5"/>
  <c r="S8" i="5" s="1"/>
  <c r="B30" i="12"/>
  <c r="B38" i="12" s="1"/>
  <c r="L23" i="2"/>
  <c r="V24" i="4"/>
  <c r="P5" i="5"/>
  <c r="V25" i="4"/>
  <c r="M39" i="2"/>
  <c r="U39" i="2" s="1"/>
  <c r="N15" i="2"/>
  <c r="Q15" i="2" s="1"/>
  <c r="U15" i="2"/>
  <c r="J24" i="8"/>
  <c r="M24" i="8" s="1"/>
  <c r="C26" i="12"/>
  <c r="C32" i="12"/>
  <c r="C35" i="12"/>
  <c r="D6" i="12"/>
  <c r="D10" i="12" s="1"/>
  <c r="C33" i="12"/>
  <c r="C27" i="12"/>
  <c r="C18" i="12"/>
  <c r="C22" i="12"/>
  <c r="C31" i="12"/>
  <c r="D7" i="12"/>
  <c r="C36" i="12"/>
  <c r="C19" i="12"/>
  <c r="C34" i="12"/>
  <c r="C13" i="12"/>
  <c r="C14" i="12"/>
  <c r="C24" i="12"/>
  <c r="C29" i="12"/>
  <c r="C16" i="12"/>
  <c r="C15" i="12"/>
  <c r="B29" i="12"/>
  <c r="L22" i="2"/>
  <c r="L14" i="5"/>
  <c r="M6" i="2"/>
  <c r="W8" i="4"/>
  <c r="P10" i="2"/>
  <c r="P6" i="2"/>
  <c r="R9" i="2"/>
  <c r="M10" i="2"/>
  <c r="L6" i="8"/>
  <c r="M6" i="8" s="1"/>
  <c r="P6" i="8" s="1"/>
  <c r="R7" i="5"/>
  <c r="L17" i="2"/>
  <c r="P7" i="5"/>
  <c r="D26" i="12" l="1"/>
  <c r="D30" i="12"/>
  <c r="D19" i="12"/>
  <c r="D17" i="12"/>
  <c r="D15" i="12"/>
  <c r="D25" i="12"/>
  <c r="D33" i="12"/>
  <c r="D28" i="12"/>
  <c r="D21" i="12"/>
  <c r="D13" i="12"/>
  <c r="D35" i="12"/>
  <c r="D29" i="12"/>
  <c r="D37" i="12"/>
  <c r="D32" i="12"/>
  <c r="D16" i="12"/>
  <c r="D27" i="12"/>
  <c r="D22" i="12"/>
  <c r="D18" i="12"/>
  <c r="D24" i="12"/>
  <c r="D20" i="12"/>
  <c r="D34" i="12"/>
  <c r="D31" i="12"/>
  <c r="D14" i="12"/>
  <c r="D36" i="12"/>
  <c r="D23" i="12"/>
  <c r="U20" i="2"/>
  <c r="N20" i="2"/>
  <c r="Q20" i="2" s="1"/>
  <c r="M28" i="2"/>
  <c r="L59" i="2"/>
  <c r="M59" i="2" s="1"/>
  <c r="U59" i="2" s="1"/>
  <c r="R28" i="2"/>
  <c r="P28" i="2"/>
  <c r="O17" i="6"/>
  <c r="R22" i="2"/>
  <c r="L53" i="2"/>
  <c r="M53" i="2" s="1"/>
  <c r="U53" i="2" s="1"/>
  <c r="P22" i="2"/>
  <c r="M22" i="2"/>
  <c r="U26" i="2"/>
  <c r="N26" i="2"/>
  <c r="O26" i="2"/>
  <c r="L8" i="5"/>
  <c r="X6" i="4"/>
  <c r="W6" i="4"/>
  <c r="S14" i="5"/>
  <c r="Q14" i="5"/>
  <c r="P30" i="4"/>
  <c r="E19" i="7" s="1"/>
  <c r="K16" i="5"/>
  <c r="N16" i="5" s="1"/>
  <c r="L16" i="5"/>
  <c r="R16" i="5"/>
  <c r="R20" i="5" s="1"/>
  <c r="Q16" i="5"/>
  <c r="J20" i="5"/>
  <c r="E18" i="7" s="1"/>
  <c r="R17" i="5"/>
  <c r="Q17" i="5"/>
  <c r="K17" i="5"/>
  <c r="L17" i="5"/>
  <c r="V20" i="4"/>
  <c r="Y20" i="4" s="1"/>
  <c r="S11" i="2"/>
  <c r="V11" i="2" s="1"/>
  <c r="S26" i="2"/>
  <c r="V26" i="2" s="1"/>
  <c r="M20" i="5"/>
  <c r="R17" i="2"/>
  <c r="P17" i="2"/>
  <c r="M17" i="2"/>
  <c r="L48" i="2"/>
  <c r="M48" i="2" s="1"/>
  <c r="N6" i="2"/>
  <c r="Q6" i="2" s="1"/>
  <c r="S6" i="2"/>
  <c r="O6" i="2"/>
  <c r="U6" i="2"/>
  <c r="T25" i="2"/>
  <c r="Q7" i="2"/>
  <c r="Y25" i="4"/>
  <c r="W25" i="4"/>
  <c r="L31" i="2"/>
  <c r="Y6" i="4"/>
  <c r="L10" i="5"/>
  <c r="N10" i="5"/>
  <c r="V7" i="2"/>
  <c r="T7" i="2"/>
  <c r="M18" i="2"/>
  <c r="R18" i="2"/>
  <c r="S18" i="2" s="1"/>
  <c r="V18" i="2" s="1"/>
  <c r="P18" i="2"/>
  <c r="L49" i="2"/>
  <c r="M49" i="2" s="1"/>
  <c r="U49" i="2" s="1"/>
  <c r="P19" i="2"/>
  <c r="M19" i="2"/>
  <c r="L50" i="2"/>
  <c r="M50" i="2" s="1"/>
  <c r="U50" i="2" s="1"/>
  <c r="R19" i="2"/>
  <c r="S19" i="2" s="1"/>
  <c r="V19" i="2" s="1"/>
  <c r="X20" i="4"/>
  <c r="W20" i="4"/>
  <c r="N11" i="2"/>
  <c r="O11" i="2" s="1"/>
  <c r="U11" i="2"/>
  <c r="K19" i="5"/>
  <c r="K20" i="5" s="1"/>
  <c r="Q19" i="5"/>
  <c r="R19" i="5"/>
  <c r="L39" i="6"/>
  <c r="L40" i="6" s="1"/>
  <c r="L41" i="6"/>
  <c r="X29" i="4"/>
  <c r="W29" i="4"/>
  <c r="W13" i="4"/>
  <c r="Q11" i="2"/>
  <c r="Q26" i="2"/>
  <c r="U10" i="2"/>
  <c r="N10" i="2"/>
  <c r="O10" i="2" s="1"/>
  <c r="S9" i="2"/>
  <c r="S5" i="5"/>
  <c r="P20" i="5"/>
  <c r="F18" i="7" s="1"/>
  <c r="P5" i="8"/>
  <c r="P15" i="8" s="1"/>
  <c r="M15" i="8"/>
  <c r="F17" i="7" s="1"/>
  <c r="G17" i="7" s="1"/>
  <c r="D17" i="7" s="1"/>
  <c r="N17" i="6"/>
  <c r="Q9" i="5"/>
  <c r="S9" i="5"/>
  <c r="X28" i="4"/>
  <c r="W28" i="4"/>
  <c r="S10" i="2"/>
  <c r="V10" i="2" s="1"/>
  <c r="F29" i="7"/>
  <c r="F32" i="7" s="1"/>
  <c r="H22" i="7"/>
  <c r="S7" i="5"/>
  <c r="Q7" i="5"/>
  <c r="N17" i="5"/>
  <c r="V29" i="4"/>
  <c r="Y29" i="4" s="1"/>
  <c r="C38" i="12"/>
  <c r="V8" i="2"/>
  <c r="T8" i="2"/>
  <c r="Y24" i="4"/>
  <c r="W24" i="4"/>
  <c r="Q6" i="5"/>
  <c r="Q20" i="5" s="1"/>
  <c r="L15" i="8"/>
  <c r="Q8" i="5"/>
  <c r="V28" i="4"/>
  <c r="Y28" i="4" s="1"/>
  <c r="X21" i="4"/>
  <c r="W21" i="4"/>
  <c r="T12" i="2"/>
  <c r="N5" i="5"/>
  <c r="Q10" i="2"/>
  <c r="M23" i="2"/>
  <c r="R23" i="2"/>
  <c r="S23" i="2" s="1"/>
  <c r="V23" i="2" s="1"/>
  <c r="P23" i="2"/>
  <c r="L54" i="2"/>
  <c r="M54" i="2" s="1"/>
  <c r="U54" i="2" s="1"/>
  <c r="U30" i="4"/>
  <c r="L6" i="5"/>
  <c r="P16" i="6"/>
  <c r="Q16" i="6"/>
  <c r="Q17" i="6" s="1"/>
  <c r="L17" i="6"/>
  <c r="J30" i="8"/>
  <c r="N7" i="8"/>
  <c r="N15" i="8" s="1"/>
  <c r="P17" i="6"/>
  <c r="N9" i="8"/>
  <c r="O9" i="8"/>
  <c r="O15" i="8" s="1"/>
  <c r="V21" i="4"/>
  <c r="Y21" i="4" s="1"/>
  <c r="S20" i="2"/>
  <c r="V20" i="2" s="1"/>
  <c r="O12" i="2"/>
  <c r="G18" i="7" l="1"/>
  <c r="D18" i="7" s="1"/>
  <c r="U22" i="2"/>
  <c r="N22" i="2"/>
  <c r="O22" i="2"/>
  <c r="T22" i="2"/>
  <c r="N28" i="2"/>
  <c r="Q28" i="2" s="1"/>
  <c r="U28" i="2"/>
  <c r="S20" i="5"/>
  <c r="L19" i="5"/>
  <c r="L20" i="5" s="1"/>
  <c r="U18" i="2"/>
  <c r="N18" i="2"/>
  <c r="O18" i="2" s="1"/>
  <c r="T18" i="2"/>
  <c r="V6" i="2"/>
  <c r="N19" i="5"/>
  <c r="W30" i="4"/>
  <c r="Q22" i="2"/>
  <c r="U48" i="2"/>
  <c r="U62" i="2" s="1"/>
  <c r="M62" i="2"/>
  <c r="S22" i="2"/>
  <c r="V22" i="2" s="1"/>
  <c r="T20" i="2"/>
  <c r="V9" i="2"/>
  <c r="T9" i="2"/>
  <c r="P31" i="2"/>
  <c r="T10" i="2"/>
  <c r="T11" i="2"/>
  <c r="T19" i="2"/>
  <c r="N19" i="2"/>
  <c r="Q19" i="2" s="1"/>
  <c r="U19" i="2"/>
  <c r="O19" i="2"/>
  <c r="N17" i="2"/>
  <c r="Q17" i="2" s="1"/>
  <c r="T17" i="2"/>
  <c r="O17" i="2"/>
  <c r="U17" i="2"/>
  <c r="T26" i="2"/>
  <c r="O20" i="2"/>
  <c r="N20" i="5"/>
  <c r="R31" i="2"/>
  <c r="L18" i="6"/>
  <c r="L19" i="6" s="1"/>
  <c r="L20" i="6" s="1"/>
  <c r="L21" i="6" s="1"/>
  <c r="U23" i="2"/>
  <c r="T23" i="2"/>
  <c r="N23" i="2"/>
  <c r="O23" i="2" s="1"/>
  <c r="N18" i="6"/>
  <c r="M31" i="2"/>
  <c r="E16" i="7" s="1"/>
  <c r="L62" i="2"/>
  <c r="V30" i="4"/>
  <c r="F19" i="7" s="1"/>
  <c r="G19" i="7" s="1"/>
  <c r="D19" i="7" s="1"/>
  <c r="U31" i="2"/>
  <c r="S17" i="2"/>
  <c r="V17" i="2" s="1"/>
  <c r="S28" i="2"/>
  <c r="V28" i="2" s="1"/>
  <c r="D38" i="12"/>
  <c r="X30" i="4"/>
  <c r="Q18" i="2"/>
  <c r="Y30" i="4"/>
  <c r="T6" i="2"/>
  <c r="N19" i="6" l="1"/>
  <c r="O18" i="6"/>
  <c r="Q23" i="2"/>
  <c r="Q31" i="2" s="1"/>
  <c r="N31" i="2"/>
  <c r="T31" i="2"/>
  <c r="O28" i="2"/>
  <c r="O31" i="2" s="1"/>
  <c r="V31" i="2"/>
  <c r="T28" i="2"/>
  <c r="E22" i="7"/>
  <c r="S31" i="2"/>
  <c r="F16" i="7" s="1"/>
  <c r="F22" i="7" s="1"/>
  <c r="F26" i="7" s="1"/>
  <c r="O19" i="6" l="1"/>
  <c r="N20" i="6"/>
  <c r="G22" i="7"/>
  <c r="F27" i="7" s="1"/>
  <c r="F24" i="7"/>
  <c r="G16" i="7"/>
  <c r="D16" i="7" s="1"/>
  <c r="O20" i="6" l="1"/>
  <c r="O21" i="6" s="1"/>
  <c r="N2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Saverio</author>
  </authors>
  <commentList>
    <comment ref="I18" authorId="0" shapeId="0" xr:uid="{F4D000ED-2DCD-4D3B-A270-4D58361DB52D}">
      <text>
        <r>
          <rPr>
            <b/>
            <sz val="9"/>
            <color indexed="81"/>
            <rFont val="Tahoma"/>
            <family val="2"/>
          </rPr>
          <t>Indicare il coefficiente di rivalutazione tra 160, 148, 80, 60 o 55 a seconda della cat. catastale</t>
        </r>
        <r>
          <rPr>
            <sz val="9"/>
            <color indexed="81"/>
            <rFont val="Tahoma"/>
            <family val="2"/>
          </rPr>
          <t xml:space="preserve">
</t>
        </r>
      </text>
    </comment>
  </commentList>
</comments>
</file>

<file path=xl/sharedStrings.xml><?xml version="1.0" encoding="utf-8"?>
<sst xmlns="http://schemas.openxmlformats.org/spreadsheetml/2006/main" count="375" uniqueCount="151">
  <si>
    <t>Contribuente</t>
  </si>
  <si>
    <t>Periodo d'imposta</t>
  </si>
  <si>
    <t>Copyright: Wolters Kluwer Italia S.r.l. – Ipsoa</t>
  </si>
  <si>
    <t>Numero</t>
  </si>
  <si>
    <t>Reddito</t>
  </si>
  <si>
    <t>dominicale</t>
  </si>
  <si>
    <t>Coefficiente</t>
  </si>
  <si>
    <t>rivalutazione</t>
  </si>
  <si>
    <t xml:space="preserve">Valore </t>
  </si>
  <si>
    <t>IMU</t>
  </si>
  <si>
    <t>Totale</t>
  </si>
  <si>
    <t>Tipologia</t>
  </si>
  <si>
    <t>Categorie catastali</t>
  </si>
  <si>
    <t>Da A/1 ad A/9, C/2, C/6, C/7</t>
  </si>
  <si>
    <t>C/3, C/4, C/5</t>
  </si>
  <si>
    <t>Da B/1 a B/8</t>
  </si>
  <si>
    <t>C/1</t>
  </si>
  <si>
    <t>Valore</t>
  </si>
  <si>
    <t>area</t>
  </si>
  <si>
    <t>IMU dovuta</t>
  </si>
  <si>
    <t>aliq base 0,76%</t>
  </si>
  <si>
    <t>Detrazione spettante</t>
  </si>
  <si>
    <t>IMU al netto detrazione</t>
  </si>
  <si>
    <t>Rendita</t>
  </si>
  <si>
    <t>catastale</t>
  </si>
  <si>
    <t>Anno</t>
  </si>
  <si>
    <t>Terreni agricoli</t>
  </si>
  <si>
    <t>Abitazione principale e pertinenze</t>
  </si>
  <si>
    <t>Altri fabbricati</t>
  </si>
  <si>
    <t>Aree fabbricabili</t>
  </si>
  <si>
    <t>TOTALE</t>
  </si>
  <si>
    <t>Aventi diritto</t>
  </si>
  <si>
    <t>Numero figli di età inferiore a 26 anni</t>
  </si>
  <si>
    <t>A/10, D/5</t>
  </si>
  <si>
    <t>CD/IAP</t>
  </si>
  <si>
    <t>SI</t>
  </si>
  <si>
    <t>NO</t>
  </si>
  <si>
    <t>Pertinenza C/2</t>
  </si>
  <si>
    <t>Pertinenza C/6</t>
  </si>
  <si>
    <t>Pertinenza C/7</t>
  </si>
  <si>
    <t>Percentuale spettanza ulteriore detrazione</t>
  </si>
  <si>
    <t xml:space="preserve">Detrazione per figli massima </t>
  </si>
  <si>
    <t xml:space="preserve"> detrazione</t>
  </si>
  <si>
    <t>Detrazione teorica (base + per figli)</t>
  </si>
  <si>
    <t>Coltivatore diretto/IAP</t>
  </si>
  <si>
    <t>IMU 1° acconto</t>
  </si>
  <si>
    <t>aliq deliberata</t>
  </si>
  <si>
    <t>IMU saldo</t>
  </si>
  <si>
    <t>Valore terreni</t>
  </si>
  <si>
    <t>da</t>
  </si>
  <si>
    <t>A</t>
  </si>
  <si>
    <t>Imponibile</t>
  </si>
  <si>
    <t>Terreni</t>
  </si>
  <si>
    <t>% su totale</t>
  </si>
  <si>
    <t>Valore terreni ripartito</t>
  </si>
  <si>
    <t>Totali</t>
  </si>
  <si>
    <t>Valore IMU</t>
  </si>
  <si>
    <t>SI riduzione</t>
  </si>
  <si>
    <t>NO riduzione</t>
  </si>
  <si>
    <t>no riduzione stor/inag</t>
  </si>
  <si>
    <t>Valore  IMU</t>
  </si>
  <si>
    <t>o inagibile/inab.</t>
  </si>
  <si>
    <t>aliq base 0,20%</t>
  </si>
  <si>
    <t>Rate</t>
  </si>
  <si>
    <t xml:space="preserve">Numero di rate </t>
  </si>
  <si>
    <t>Detrazione rateizzata</t>
  </si>
  <si>
    <t>Codice</t>
  </si>
  <si>
    <t>tributo</t>
  </si>
  <si>
    <t>Comune</t>
  </si>
  <si>
    <t>Codice catastale comune</t>
  </si>
  <si>
    <t>immobili</t>
  </si>
  <si>
    <t xml:space="preserve">Conteggio </t>
  </si>
  <si>
    <t>fabbr 1° rata</t>
  </si>
  <si>
    <t>fabbr 2° rata</t>
  </si>
  <si>
    <t>fabbr 3° rata</t>
  </si>
  <si>
    <t>Stato</t>
  </si>
  <si>
    <t xml:space="preserve">Codice </t>
  </si>
  <si>
    <t>estremi catastali</t>
  </si>
  <si>
    <t>Ubicazione e</t>
  </si>
  <si>
    <t>Software ideato e realizzato da Saverio Cinieri</t>
  </si>
  <si>
    <t>comune</t>
  </si>
  <si>
    <t>IMU con aliq</t>
  </si>
  <si>
    <t xml:space="preserve"> delib (quota com)</t>
  </si>
  <si>
    <t>IMU acconto</t>
  </si>
  <si>
    <t>IMU 1° rata</t>
  </si>
  <si>
    <t>Aliquota</t>
  </si>
  <si>
    <t>delib. (%)</t>
  </si>
  <si>
    <t>poss.</t>
  </si>
  <si>
    <t>Mesi</t>
  </si>
  <si>
    <t>%</t>
  </si>
  <si>
    <t>Altri</t>
  </si>
  <si>
    <t>Comune e cod. catastale</t>
  </si>
  <si>
    <t xml:space="preserve">TOTALE 2° RATA (17 SETTEMBRE 2012) </t>
  </si>
  <si>
    <t>Calcolo detrazione figli</t>
  </si>
  <si>
    <t>Abitaz. principale</t>
  </si>
  <si>
    <t>Detrazione per figli &lt; 26 anni spettante</t>
  </si>
  <si>
    <t>Cat. D (no D/5 e D/10)</t>
  </si>
  <si>
    <t>2° rata (%)</t>
  </si>
  <si>
    <t>1° rata</t>
  </si>
  <si>
    <t>Abitazione principale (solo cat. A/1</t>
  </si>
  <si>
    <t>A/8 e A/9) e relative pertinenze</t>
  </si>
  <si>
    <t xml:space="preserve"> 1° rata (%)</t>
  </si>
  <si>
    <t>N.</t>
  </si>
  <si>
    <t>Calcolo con aliquote base</t>
  </si>
  <si>
    <t>Detrazione base</t>
  </si>
  <si>
    <t>IMU 2013</t>
  </si>
  <si>
    <t>IMU base</t>
  </si>
  <si>
    <t>Differenza</t>
  </si>
  <si>
    <t>di cui da versare</t>
  </si>
  <si>
    <t>Calcolo differenza da versare entro il 16 gennaio 2014</t>
  </si>
  <si>
    <t>aliquota base</t>
  </si>
  <si>
    <t>Eccedenza su</t>
  </si>
  <si>
    <t>Differenza su aliquota base</t>
  </si>
  <si>
    <t xml:space="preserve">Aliquota </t>
  </si>
  <si>
    <t>Categoria catastale abitazione principale</t>
  </si>
  <si>
    <t>Fabbricati rurali strumentali</t>
  </si>
  <si>
    <t>Eccedenza imposta su abitazione principale e pertinenze</t>
  </si>
  <si>
    <t>Eccedenza imposta su terreni</t>
  </si>
  <si>
    <t>Eccedenza imposta su fabbricati rurali</t>
  </si>
  <si>
    <t>TOTALE DA VERSARE ENTRO IL 16/01/2014</t>
  </si>
  <si>
    <t xml:space="preserve">IMU </t>
  </si>
  <si>
    <t>2° rata</t>
  </si>
  <si>
    <t>aliq. Base</t>
  </si>
  <si>
    <t>entro il 16/1/2014</t>
  </si>
  <si>
    <t>Importo dovuto</t>
  </si>
  <si>
    <t>a saldo</t>
  </si>
  <si>
    <t>1° rata (%)</t>
  </si>
  <si>
    <t>a saldo (%)</t>
  </si>
  <si>
    <t>CALCOLO IMU - RIEPILOGO</t>
  </si>
  <si>
    <t xml:space="preserve">                         Aggiornato con la Legge 28 dicembre 2015, n. 208</t>
  </si>
  <si>
    <t>saldo (%)</t>
  </si>
  <si>
    <t>Detrazione deliberata - anno precedente</t>
  </si>
  <si>
    <t>Detrazione deliberata - anno corrente</t>
  </si>
  <si>
    <t>Immobile in</t>
  </si>
  <si>
    <t>comod. parenti</t>
  </si>
  <si>
    <t>Immob. stor./art.</t>
  </si>
  <si>
    <t>Locaz. canone</t>
  </si>
  <si>
    <t>concordato</t>
  </si>
  <si>
    <t>anno</t>
  </si>
  <si>
    <t>entro il 16/06</t>
  </si>
  <si>
    <t>entro il 16/12</t>
  </si>
  <si>
    <t xml:space="preserve">TOTALE 1° RATA (16 GIUGNO) </t>
  </si>
  <si>
    <t>TOTALE 2° RATA (16 DICEMBRE)</t>
  </si>
  <si>
    <t>TOTALE IMPOSTA DOVUTA</t>
  </si>
  <si>
    <t>IMU 2° acconto</t>
  </si>
  <si>
    <t>Gruppo D - Stato</t>
  </si>
  <si>
    <t>Gruppo D - Comune</t>
  </si>
  <si>
    <t xml:space="preserve">                     art. 13 D.L. 6 dicembre 2011, n. 201</t>
  </si>
  <si>
    <t>1° sem.</t>
  </si>
  <si>
    <t>2° sem.</t>
  </si>
  <si>
    <t>Vers. 1.3 - giugno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</si>
</sst>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4" formatCode="&quot;L.&quot;\ #,##0;[Red]\-&quot;L.&quot;\ #,##0"/>
  </numFmts>
  <fonts count="22" x14ac:knownFonts="1">
    <font>
      <sz val="11"/>
      <color theme="1"/>
      <name val="Calibri"/>
      <family val="2"/>
      <scheme val="minor"/>
    </font>
    <font>
      <sz val="12"/>
      <name val="Times New Roman"/>
      <family val="1"/>
    </font>
    <font>
      <i/>
      <sz val="12"/>
      <name val="Times New Roman"/>
      <family val="1"/>
    </font>
    <font>
      <sz val="8"/>
      <color indexed="23"/>
      <name val="Arial"/>
      <family val="2"/>
    </font>
    <font>
      <sz val="10"/>
      <name val="Arial"/>
      <family val="2"/>
    </font>
    <font>
      <sz val="10"/>
      <name val="MS Sans Serif"/>
      <family val="2"/>
    </font>
    <font>
      <sz val="10"/>
      <color indexed="8"/>
      <name val="Times New Roman"/>
      <family val="1"/>
    </font>
    <font>
      <sz val="10"/>
      <name val="Arial"/>
      <family val="2"/>
    </font>
    <font>
      <sz val="10"/>
      <name val="Times New Roman"/>
      <family val="1"/>
    </font>
    <font>
      <b/>
      <sz val="10"/>
      <name val="Times New Roman"/>
      <family val="1"/>
    </font>
    <font>
      <sz val="9"/>
      <color indexed="81"/>
      <name val="Tahoma"/>
      <family val="2"/>
    </font>
    <font>
      <b/>
      <sz val="9"/>
      <color indexed="81"/>
      <name val="Tahoma"/>
      <family val="2"/>
    </font>
    <font>
      <sz val="10"/>
      <color indexed="10"/>
      <name val="Arial"/>
      <family val="2"/>
    </font>
    <font>
      <sz val="10"/>
      <color indexed="53"/>
      <name val="Arial"/>
      <family val="2"/>
    </font>
    <font>
      <sz val="10"/>
      <color indexed="57"/>
      <name val="Arial"/>
      <family val="2"/>
    </font>
    <font>
      <i/>
      <sz val="8"/>
      <name val="Arial"/>
      <family val="2"/>
    </font>
    <font>
      <sz val="12"/>
      <color theme="1"/>
      <name val="Times New Roman"/>
      <family val="1"/>
    </font>
    <font>
      <b/>
      <sz val="12"/>
      <color theme="1"/>
      <name val="Times New Roman"/>
      <family val="1"/>
    </font>
    <font>
      <sz val="10"/>
      <color theme="1"/>
      <name val="Times New Roman"/>
      <family val="1"/>
    </font>
    <font>
      <sz val="10"/>
      <color rgb="FFFF0000"/>
      <name val="Times New Roman"/>
      <family val="1"/>
    </font>
    <font>
      <b/>
      <sz val="10"/>
      <color theme="1"/>
      <name val="Times New Roman"/>
      <family val="1"/>
    </font>
    <font>
      <b/>
      <sz val="10"/>
      <color rgb="FFFF0000"/>
      <name val="Times New Roman"/>
      <family val="1"/>
    </font>
  </fonts>
  <fills count="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6">
    <xf numFmtId="0" fontId="0" fillId="0" borderId="0"/>
    <xf numFmtId="0" fontId="8" fillId="0" borderId="0"/>
    <xf numFmtId="38" fontId="5" fillId="0" borderId="0" applyFont="0" applyFill="0" applyBorder="0" applyAlignment="0" applyProtection="0"/>
    <xf numFmtId="0" fontId="7" fillId="0" borderId="0"/>
    <xf numFmtId="0" fontId="5" fillId="0" borderId="0"/>
    <xf numFmtId="174" fontId="5" fillId="0" borderId="0" applyFont="0" applyFill="0" applyBorder="0" applyAlignment="0" applyProtection="0"/>
  </cellStyleXfs>
  <cellXfs count="136">
    <xf numFmtId="0" fontId="0" fillId="0" borderId="0" xfId="0"/>
    <xf numFmtId="0" fontId="1" fillId="0" borderId="0" xfId="0" applyFont="1"/>
    <xf numFmtId="0" fontId="2"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6" fillId="0" borderId="0" xfId="0" applyFont="1"/>
    <xf numFmtId="0" fontId="16" fillId="0" borderId="0" xfId="0" applyFont="1" applyProtection="1">
      <protection hidden="1"/>
    </xf>
    <xf numFmtId="0" fontId="16" fillId="2" borderId="9" xfId="0" applyFont="1" applyFill="1" applyBorder="1" applyAlignment="1" applyProtection="1">
      <alignment horizontal="center"/>
      <protection hidden="1"/>
    </xf>
    <xf numFmtId="0" fontId="16" fillId="2" borderId="10" xfId="0" applyFont="1" applyFill="1" applyBorder="1" applyAlignment="1" applyProtection="1">
      <alignment horizontal="center"/>
      <protection hidden="1"/>
    </xf>
    <xf numFmtId="0" fontId="0" fillId="0" borderId="0" xfId="0" applyProtection="1">
      <protection hidden="1"/>
    </xf>
    <xf numFmtId="4" fontId="16" fillId="3" borderId="10" xfId="0" applyNumberFormat="1" applyFont="1" applyFill="1" applyBorder="1" applyProtection="1">
      <protection hidden="1"/>
    </xf>
    <xf numFmtId="0" fontId="16" fillId="3" borderId="11" xfId="0" applyFont="1" applyFill="1" applyBorder="1" applyProtection="1">
      <protection hidden="1"/>
    </xf>
    <xf numFmtId="0" fontId="1" fillId="3" borderId="11" xfId="0" applyFont="1" applyFill="1" applyBorder="1"/>
    <xf numFmtId="0" fontId="16" fillId="2" borderId="11" xfId="0" applyFont="1" applyFill="1" applyBorder="1" applyProtection="1">
      <protection hidden="1"/>
    </xf>
    <xf numFmtId="0" fontId="1" fillId="0" borderId="11" xfId="0" applyFont="1" applyBorder="1" applyProtection="1">
      <protection locked="0"/>
    </xf>
    <xf numFmtId="4" fontId="17" fillId="3" borderId="11" xfId="0" applyNumberFormat="1" applyFont="1" applyFill="1" applyBorder="1" applyProtection="1">
      <protection hidden="1"/>
    </xf>
    <xf numFmtId="0" fontId="17" fillId="0" borderId="0" xfId="0" applyFont="1" applyProtection="1">
      <protection hidden="1"/>
    </xf>
    <xf numFmtId="4" fontId="6" fillId="0" borderId="12" xfId="4" applyNumberFormat="1" applyFont="1" applyFill="1" applyBorder="1" applyProtection="1">
      <protection locked="0"/>
    </xf>
    <xf numFmtId="0" fontId="8" fillId="0" borderId="0" xfId="3" applyFont="1" applyProtection="1">
      <protection hidden="1"/>
    </xf>
    <xf numFmtId="4" fontId="8" fillId="0" borderId="0" xfId="3" applyNumberFormat="1" applyFont="1" applyProtection="1">
      <protection hidden="1"/>
    </xf>
    <xf numFmtId="10" fontId="8" fillId="0" borderId="0" xfId="3" applyNumberFormat="1" applyFont="1" applyProtection="1">
      <protection hidden="1"/>
    </xf>
    <xf numFmtId="0" fontId="8" fillId="0" borderId="11" xfId="3" applyFont="1" applyBorder="1" applyProtection="1">
      <protection hidden="1"/>
    </xf>
    <xf numFmtId="4" fontId="8" fillId="0" borderId="11" xfId="3" applyNumberFormat="1" applyFont="1" applyBorder="1" applyProtection="1">
      <protection hidden="1"/>
    </xf>
    <xf numFmtId="10" fontId="8" fillId="0" borderId="11" xfId="3" applyNumberFormat="1" applyFont="1" applyBorder="1" applyProtection="1">
      <protection hidden="1"/>
    </xf>
    <xf numFmtId="0" fontId="1" fillId="2" borderId="11" xfId="0" applyFont="1" applyFill="1" applyBorder="1" applyAlignment="1" applyProtection="1">
      <alignment horizontal="center"/>
      <protection hidden="1"/>
    </xf>
    <xf numFmtId="0" fontId="16" fillId="2" borderId="13" xfId="0" applyFont="1" applyFill="1" applyBorder="1" applyAlignment="1" applyProtection="1">
      <alignment horizontal="center"/>
      <protection hidden="1"/>
    </xf>
    <xf numFmtId="4" fontId="17" fillId="3" borderId="9" xfId="0" applyNumberFormat="1" applyFont="1" applyFill="1" applyBorder="1" applyProtection="1">
      <protection hidden="1"/>
    </xf>
    <xf numFmtId="0" fontId="17" fillId="2" borderId="1" xfId="0" applyFont="1" applyFill="1" applyBorder="1" applyProtection="1">
      <protection hidden="1"/>
    </xf>
    <xf numFmtId="0" fontId="17" fillId="2" borderId="11" xfId="0" applyFont="1" applyFill="1" applyBorder="1" applyProtection="1">
      <protection hidden="1"/>
    </xf>
    <xf numFmtId="0" fontId="17" fillId="2" borderId="6" xfId="0" applyFont="1" applyFill="1" applyBorder="1" applyProtection="1">
      <protection hidden="1"/>
    </xf>
    <xf numFmtId="4" fontId="17" fillId="3" borderId="10" xfId="0" applyNumberFormat="1" applyFont="1" applyFill="1" applyBorder="1" applyProtection="1">
      <protection hidden="1"/>
    </xf>
    <xf numFmtId="0" fontId="17" fillId="2" borderId="9" xfId="0" applyFont="1" applyFill="1" applyBorder="1" applyAlignment="1" applyProtection="1">
      <alignment horizontal="center"/>
      <protection hidden="1"/>
    </xf>
    <xf numFmtId="0" fontId="17" fillId="2" borderId="10" xfId="0" applyFont="1" applyFill="1" applyBorder="1" applyProtection="1">
      <protection hidden="1"/>
    </xf>
    <xf numFmtId="0" fontId="16" fillId="0" borderId="0" xfId="0" applyFont="1" applyProtection="1">
      <protection hidden="1"/>
    </xf>
    <xf numFmtId="0" fontId="16" fillId="2" borderId="4" xfId="0" applyFont="1" applyFill="1" applyBorder="1" applyAlignment="1" applyProtection="1">
      <alignment horizontal="center"/>
      <protection hidden="1"/>
    </xf>
    <xf numFmtId="0" fontId="16" fillId="2" borderId="11" xfId="0" applyFont="1" applyFill="1" applyBorder="1" applyAlignment="1" applyProtection="1">
      <alignment horizontal="center"/>
      <protection hidden="1"/>
    </xf>
    <xf numFmtId="0" fontId="17" fillId="2" borderId="10" xfId="0" applyFont="1" applyFill="1" applyBorder="1" applyAlignment="1" applyProtection="1">
      <alignment horizontal="center"/>
      <protection hidden="1"/>
    </xf>
    <xf numFmtId="0" fontId="16" fillId="0" borderId="0" xfId="0" applyFont="1" applyAlignment="1" applyProtection="1">
      <alignment horizontal="center"/>
      <protection hidden="1"/>
    </xf>
    <xf numFmtId="0" fontId="17" fillId="2" borderId="6" xfId="0" applyFont="1" applyFill="1" applyBorder="1" applyAlignment="1" applyProtection="1">
      <alignment horizontal="center"/>
      <protection hidden="1"/>
    </xf>
    <xf numFmtId="0" fontId="18" fillId="0" borderId="0" xfId="0" applyFont="1" applyProtection="1">
      <protection hidden="1"/>
    </xf>
    <xf numFmtId="0" fontId="9" fillId="0" borderId="0" xfId="0" applyFont="1" applyProtection="1">
      <protection hidden="1"/>
    </xf>
    <xf numFmtId="0" fontId="18" fillId="2" borderId="14" xfId="0" applyFont="1" applyFill="1" applyBorder="1" applyProtection="1">
      <protection hidden="1"/>
    </xf>
    <xf numFmtId="0" fontId="18" fillId="2" borderId="15" xfId="0" applyFont="1" applyFill="1" applyBorder="1" applyProtection="1">
      <protection hidden="1"/>
    </xf>
    <xf numFmtId="0" fontId="18" fillId="2" borderId="12" xfId="0" applyFont="1" applyFill="1" applyBorder="1" applyProtection="1">
      <protection hidden="1"/>
    </xf>
    <xf numFmtId="0" fontId="18" fillId="0" borderId="11" xfId="0" applyFont="1" applyBorder="1" applyProtection="1">
      <protection locked="0"/>
    </xf>
    <xf numFmtId="0" fontId="18" fillId="2" borderId="9" xfId="0" applyFont="1" applyFill="1" applyBorder="1" applyAlignment="1" applyProtection="1">
      <alignment horizontal="center"/>
      <protection hidden="1"/>
    </xf>
    <xf numFmtId="0" fontId="19" fillId="2" borderId="9" xfId="0" applyFont="1" applyFill="1" applyBorder="1" applyAlignment="1" applyProtection="1">
      <alignment horizontal="center"/>
      <protection hidden="1"/>
    </xf>
    <xf numFmtId="0" fontId="18" fillId="2" borderId="10" xfId="0" applyFont="1" applyFill="1" applyBorder="1" applyAlignment="1" applyProtection="1">
      <alignment horizontal="center"/>
      <protection hidden="1"/>
    </xf>
    <xf numFmtId="0" fontId="19" fillId="2" borderId="10" xfId="0" applyFont="1" applyFill="1" applyBorder="1" applyAlignment="1" applyProtection="1">
      <alignment horizontal="center"/>
      <protection hidden="1"/>
    </xf>
    <xf numFmtId="0" fontId="18" fillId="2" borderId="11" xfId="0" applyFont="1" applyFill="1" applyBorder="1" applyProtection="1">
      <protection hidden="1"/>
    </xf>
    <xf numFmtId="2" fontId="18" fillId="0" borderId="11" xfId="0" applyNumberFormat="1" applyFont="1" applyBorder="1" applyAlignment="1" applyProtection="1">
      <alignment horizontal="center"/>
      <protection locked="0"/>
    </xf>
    <xf numFmtId="1" fontId="18" fillId="0" borderId="11" xfId="0" applyNumberFormat="1" applyFont="1" applyBorder="1" applyAlignment="1" applyProtection="1">
      <alignment horizontal="center"/>
      <protection locked="0"/>
    </xf>
    <xf numFmtId="4" fontId="18" fillId="0" borderId="11" xfId="0" applyNumberFormat="1" applyFont="1" applyBorder="1" applyProtection="1">
      <protection locked="0"/>
    </xf>
    <xf numFmtId="4" fontId="18" fillId="0" borderId="11" xfId="0" applyNumberFormat="1" applyFont="1" applyBorder="1" applyAlignment="1" applyProtection="1">
      <alignment horizontal="center"/>
      <protection locked="0"/>
    </xf>
    <xf numFmtId="4" fontId="19" fillId="0" borderId="11" xfId="0" applyNumberFormat="1" applyFont="1" applyFill="1" applyBorder="1" applyProtection="1">
      <protection hidden="1"/>
    </xf>
    <xf numFmtId="4" fontId="18" fillId="3" borderId="11" xfId="0" applyNumberFormat="1" applyFont="1" applyFill="1" applyBorder="1" applyProtection="1">
      <protection hidden="1"/>
    </xf>
    <xf numFmtId="3" fontId="19" fillId="0" borderId="11" xfId="0" applyNumberFormat="1" applyFont="1" applyFill="1" applyBorder="1" applyProtection="1">
      <protection hidden="1"/>
    </xf>
    <xf numFmtId="0" fontId="18" fillId="2" borderId="9" xfId="0" applyFont="1" applyFill="1" applyBorder="1" applyProtection="1">
      <protection hidden="1"/>
    </xf>
    <xf numFmtId="0" fontId="18" fillId="3" borderId="14" xfId="0" applyFont="1" applyFill="1" applyBorder="1" applyProtection="1">
      <protection hidden="1"/>
    </xf>
    <xf numFmtId="0" fontId="18" fillId="3" borderId="15" xfId="0" applyFont="1" applyFill="1" applyBorder="1" applyProtection="1">
      <protection hidden="1"/>
    </xf>
    <xf numFmtId="4" fontId="20" fillId="3" borderId="11" xfId="0" applyNumberFormat="1" applyFont="1" applyFill="1" applyBorder="1" applyProtection="1">
      <protection hidden="1"/>
    </xf>
    <xf numFmtId="4" fontId="21" fillId="0" borderId="11" xfId="0" applyNumberFormat="1" applyFont="1" applyFill="1" applyBorder="1" applyProtection="1">
      <protection hidden="1"/>
    </xf>
    <xf numFmtId="0" fontId="19" fillId="0" borderId="11" xfId="0" applyFont="1" applyBorder="1" applyAlignment="1" applyProtection="1">
      <alignment horizontal="center"/>
      <protection hidden="1"/>
    </xf>
    <xf numFmtId="0" fontId="19" fillId="0" borderId="12" xfId="0" applyFont="1" applyBorder="1" applyProtection="1">
      <protection hidden="1"/>
    </xf>
    <xf numFmtId="0" fontId="18" fillId="3" borderId="12" xfId="0" applyFont="1" applyFill="1" applyBorder="1" applyProtection="1">
      <protection hidden="1"/>
    </xf>
    <xf numFmtId="4" fontId="20" fillId="3" borderId="12" xfId="0" applyNumberFormat="1" applyFont="1" applyFill="1" applyBorder="1" applyProtection="1">
      <protection hidden="1"/>
    </xf>
    <xf numFmtId="0" fontId="18" fillId="2" borderId="1" xfId="0" applyFont="1" applyFill="1" applyBorder="1" applyProtection="1">
      <protection hidden="1"/>
    </xf>
    <xf numFmtId="0" fontId="18" fillId="2" borderId="3" xfId="0" applyFont="1" applyFill="1" applyBorder="1" applyProtection="1">
      <protection hidden="1"/>
    </xf>
    <xf numFmtId="2" fontId="18" fillId="0" borderId="12" xfId="0" applyNumberFormat="1" applyFont="1" applyBorder="1" applyProtection="1">
      <protection locked="0"/>
    </xf>
    <xf numFmtId="0" fontId="19" fillId="0" borderId="1" xfId="0" applyFont="1" applyFill="1" applyBorder="1" applyProtection="1">
      <protection hidden="1"/>
    </xf>
    <xf numFmtId="0" fontId="19" fillId="0" borderId="3" xfId="0" applyFont="1" applyFill="1" applyBorder="1" applyProtection="1">
      <protection hidden="1"/>
    </xf>
    <xf numFmtId="2" fontId="19" fillId="0" borderId="12" xfId="0" applyNumberFormat="1" applyFont="1" applyFill="1" applyBorder="1" applyAlignment="1" applyProtection="1">
      <alignment horizontal="right"/>
      <protection hidden="1"/>
    </xf>
    <xf numFmtId="2" fontId="18" fillId="2" borderId="3" xfId="0" applyNumberFormat="1" applyFont="1" applyFill="1" applyBorder="1" applyAlignment="1" applyProtection="1">
      <alignment horizontal="right"/>
      <protection hidden="1"/>
    </xf>
    <xf numFmtId="0" fontId="18" fillId="0" borderId="11" xfId="0" applyFont="1" applyBorder="1" applyAlignment="1" applyProtection="1">
      <alignment horizontal="center"/>
      <protection locked="0"/>
    </xf>
    <xf numFmtId="2" fontId="18" fillId="0" borderId="12" xfId="0" applyNumberFormat="1" applyFont="1" applyBorder="1" applyAlignment="1" applyProtection="1">
      <alignment horizontal="center"/>
      <protection locked="0"/>
    </xf>
    <xf numFmtId="0" fontId="18" fillId="2" borderId="5" xfId="0" applyFont="1" applyFill="1" applyBorder="1" applyProtection="1">
      <protection hidden="1"/>
    </xf>
    <xf numFmtId="0" fontId="18" fillId="2" borderId="8" xfId="0" applyFont="1" applyFill="1" applyBorder="1" applyProtection="1">
      <protection hidden="1"/>
    </xf>
    <xf numFmtId="0" fontId="18" fillId="0" borderId="9" xfId="0" applyFont="1" applyBorder="1" applyProtection="1">
      <protection hidden="1"/>
    </xf>
    <xf numFmtId="0" fontId="18" fillId="3" borderId="7" xfId="0" applyFont="1" applyFill="1" applyBorder="1" applyProtection="1">
      <protection hidden="1"/>
    </xf>
    <xf numFmtId="0" fontId="18" fillId="0" borderId="13" xfId="0" applyFont="1" applyBorder="1" applyProtection="1">
      <protection hidden="1"/>
    </xf>
    <xf numFmtId="0" fontId="19" fillId="0" borderId="15" xfId="0" applyFont="1" applyFill="1" applyBorder="1" applyProtection="1">
      <protection hidden="1"/>
    </xf>
    <xf numFmtId="0" fontId="19" fillId="0" borderId="12" xfId="0" applyFont="1" applyFill="1" applyBorder="1" applyProtection="1">
      <protection hidden="1"/>
    </xf>
    <xf numFmtId="4" fontId="19" fillId="0" borderId="0" xfId="0" applyNumberFormat="1" applyFont="1" applyFill="1" applyBorder="1" applyProtection="1">
      <protection hidden="1"/>
    </xf>
    <xf numFmtId="4" fontId="18" fillId="3" borderId="0" xfId="0" applyNumberFormat="1" applyFont="1" applyFill="1" applyBorder="1" applyProtection="1">
      <protection hidden="1"/>
    </xf>
    <xf numFmtId="0" fontId="18" fillId="0" borderId="10" xfId="0" applyFont="1" applyBorder="1" applyProtection="1">
      <protection hidden="1"/>
    </xf>
    <xf numFmtId="0" fontId="18" fillId="3" borderId="8" xfId="0" applyFont="1" applyFill="1" applyBorder="1" applyProtection="1">
      <protection hidden="1"/>
    </xf>
    <xf numFmtId="4" fontId="21" fillId="0" borderId="14" xfId="0" applyNumberFormat="1" applyFont="1" applyFill="1" applyBorder="1" applyProtection="1">
      <protection hidden="1"/>
    </xf>
    <xf numFmtId="0" fontId="18" fillId="4" borderId="15" xfId="0" applyFont="1" applyFill="1" applyBorder="1" applyProtection="1">
      <protection hidden="1"/>
    </xf>
    <xf numFmtId="4" fontId="18" fillId="0" borderId="0" xfId="0" applyNumberFormat="1" applyFont="1" applyProtection="1">
      <protection hidden="1"/>
    </xf>
    <xf numFmtId="4" fontId="17" fillId="3" borderId="12" xfId="0" applyNumberFormat="1" applyFont="1" applyFill="1" applyBorder="1" applyProtection="1">
      <protection hidden="1"/>
    </xf>
    <xf numFmtId="0" fontId="17" fillId="2" borderId="14" xfId="0" applyFont="1" applyFill="1" applyBorder="1" applyProtection="1">
      <protection hidden="1"/>
    </xf>
    <xf numFmtId="0" fontId="17" fillId="2" borderId="15" xfId="0" applyFont="1" applyFill="1" applyBorder="1" applyProtection="1">
      <protection hidden="1"/>
    </xf>
    <xf numFmtId="0" fontId="18" fillId="2" borderId="11" xfId="0" applyFont="1" applyFill="1" applyBorder="1" applyAlignment="1" applyProtection="1">
      <alignment horizontal="center"/>
      <protection hidden="1"/>
    </xf>
    <xf numFmtId="0" fontId="18" fillId="0" borderId="0" xfId="0" applyFont="1" applyBorder="1" applyProtection="1">
      <protection locked="0"/>
    </xf>
    <xf numFmtId="2" fontId="18" fillId="0" borderId="11" xfId="0" applyNumberFormat="1" applyFont="1" applyBorder="1" applyProtection="1">
      <protection locked="0"/>
    </xf>
    <xf numFmtId="0" fontId="19" fillId="0" borderId="0" xfId="0" applyFont="1" applyProtection="1">
      <protection hidden="1"/>
    </xf>
    <xf numFmtId="0" fontId="19" fillId="0" borderId="11" xfId="0" applyFont="1" applyBorder="1" applyProtection="1">
      <protection hidden="1"/>
    </xf>
    <xf numFmtId="0" fontId="21" fillId="0" borderId="11" xfId="0" applyFont="1" applyBorder="1" applyProtection="1">
      <protection hidden="1"/>
    </xf>
    <xf numFmtId="0" fontId="18" fillId="2" borderId="1" xfId="0" applyFont="1" applyFill="1" applyBorder="1" applyAlignment="1" applyProtection="1">
      <alignment horizontal="center"/>
      <protection hidden="1"/>
    </xf>
    <xf numFmtId="0" fontId="18" fillId="2" borderId="6" xfId="0" applyFont="1" applyFill="1" applyBorder="1" applyAlignment="1" applyProtection="1">
      <alignment horizontal="center"/>
      <protection hidden="1"/>
    </xf>
    <xf numFmtId="0" fontId="18" fillId="2" borderId="3" xfId="0" applyFont="1" applyFill="1" applyBorder="1" applyAlignment="1" applyProtection="1">
      <alignment horizontal="center"/>
      <protection hidden="1"/>
    </xf>
    <xf numFmtId="0" fontId="18" fillId="2" borderId="8" xfId="0" applyFont="1" applyFill="1" applyBorder="1" applyAlignment="1" applyProtection="1">
      <alignment horizontal="center"/>
      <protection hidden="1"/>
    </xf>
    <xf numFmtId="4" fontId="18" fillId="0" borderId="11" xfId="0" applyNumberFormat="1" applyFont="1" applyFill="1" applyBorder="1" applyProtection="1">
      <protection hidden="1"/>
    </xf>
    <xf numFmtId="4" fontId="20" fillId="0" borderId="11" xfId="0" applyNumberFormat="1" applyFont="1" applyFill="1" applyBorder="1" applyProtection="1">
      <protection hidden="1"/>
    </xf>
    <xf numFmtId="0" fontId="17" fillId="2" borderId="7" xfId="0" applyFont="1" applyFill="1" applyBorder="1" applyProtection="1">
      <protection hidden="1"/>
    </xf>
    <xf numFmtId="0" fontId="18" fillId="0" borderId="11" xfId="0" applyFont="1" applyBorder="1" applyProtection="1">
      <protection hidden="1"/>
    </xf>
    <xf numFmtId="0" fontId="18" fillId="0" borderId="11" xfId="0" applyFont="1" applyBorder="1" applyProtection="1"/>
    <xf numFmtId="4" fontId="18" fillId="0" borderId="11" xfId="0" applyNumberFormat="1" applyFont="1" applyBorder="1" applyAlignment="1" applyProtection="1">
      <alignment horizontal="center"/>
    </xf>
    <xf numFmtId="3" fontId="18" fillId="0" borderId="10" xfId="0" applyNumberFormat="1" applyFont="1" applyBorder="1" applyAlignment="1" applyProtection="1">
      <alignment horizontal="center"/>
    </xf>
    <xf numFmtId="0" fontId="20" fillId="2" borderId="11" xfId="0" applyFont="1" applyFill="1" applyBorder="1" applyProtection="1">
      <protection hidden="1"/>
    </xf>
    <xf numFmtId="2" fontId="18" fillId="0" borderId="11" xfId="0" applyNumberFormat="1" applyFont="1" applyBorder="1" applyProtection="1"/>
    <xf numFmtId="0" fontId="17" fillId="2" borderId="15" xfId="0" applyFont="1" applyFill="1" applyBorder="1" applyAlignment="1" applyProtection="1">
      <alignment horizontal="center"/>
      <protection hidden="1"/>
    </xf>
    <xf numFmtId="0" fontId="19" fillId="5" borderId="9" xfId="0" applyFont="1" applyFill="1" applyBorder="1" applyAlignment="1" applyProtection="1">
      <alignment horizontal="center"/>
      <protection hidden="1"/>
    </xf>
    <xf numFmtId="0" fontId="19" fillId="5" borderId="10" xfId="0" applyFont="1" applyFill="1" applyBorder="1" applyAlignment="1" applyProtection="1">
      <alignment horizontal="center"/>
      <protection hidden="1"/>
    </xf>
    <xf numFmtId="0" fontId="17" fillId="2" borderId="13" xfId="0" applyFont="1" applyFill="1" applyBorder="1" applyAlignment="1" applyProtection="1">
      <alignment horizontal="center"/>
      <protection hidden="1"/>
    </xf>
    <xf numFmtId="4" fontId="16" fillId="3" borderId="9" xfId="0" applyNumberFormat="1" applyFont="1" applyFill="1" applyBorder="1" applyProtection="1">
      <protection hidden="1"/>
    </xf>
    <xf numFmtId="4" fontId="16" fillId="3" borderId="11" xfId="0" applyNumberFormat="1" applyFont="1" applyFill="1" applyBorder="1" applyProtection="1">
      <protection hidden="1"/>
    </xf>
    <xf numFmtId="4" fontId="17" fillId="6" borderId="9" xfId="0" applyNumberFormat="1" applyFont="1" applyFill="1" applyBorder="1" applyProtection="1">
      <protection hidden="1"/>
    </xf>
    <xf numFmtId="4" fontId="17" fillId="6" borderId="10" xfId="0" applyNumberFormat="1" applyFont="1" applyFill="1" applyBorder="1" applyProtection="1">
      <protection hidden="1"/>
    </xf>
    <xf numFmtId="4" fontId="17" fillId="6" borderId="11" xfId="0" applyNumberFormat="1" applyFont="1" applyFill="1" applyBorder="1" applyProtection="1">
      <protection hidden="1"/>
    </xf>
    <xf numFmtId="0" fontId="18" fillId="7" borderId="0" xfId="0" applyFont="1" applyFill="1" applyProtection="1">
      <protection hidden="1"/>
    </xf>
    <xf numFmtId="3" fontId="18" fillId="0" borderId="10" xfId="0" applyNumberFormat="1" applyFont="1" applyBorder="1" applyAlignment="1" applyProtection="1">
      <alignment horizontal="center"/>
      <protection locked="0"/>
    </xf>
    <xf numFmtId="4" fontId="17" fillId="6" borderId="13" xfId="0" applyNumberFormat="1" applyFont="1" applyFill="1" applyBorder="1" applyProtection="1">
      <protection hidden="1"/>
    </xf>
    <xf numFmtId="0" fontId="16" fillId="0" borderId="11" xfId="0" applyFont="1" applyFill="1" applyBorder="1" applyAlignment="1" applyProtection="1">
      <alignment horizontal="center"/>
      <protection locked="0"/>
    </xf>
    <xf numFmtId="4" fontId="20" fillId="3" borderId="0" xfId="0" applyNumberFormat="1" applyFont="1" applyFill="1" applyBorder="1" applyProtection="1">
      <protection hidden="1"/>
    </xf>
    <xf numFmtId="0" fontId="18" fillId="0" borderId="9" xfId="0" applyFont="1" applyBorder="1" applyProtection="1">
      <protection locked="0"/>
    </xf>
    <xf numFmtId="0" fontId="18" fillId="2" borderId="14" xfId="0" applyFont="1" applyFill="1" applyBorder="1" applyAlignment="1" applyProtection="1">
      <alignment horizontal="right"/>
      <protection hidden="1"/>
    </xf>
    <xf numFmtId="0" fontId="18" fillId="2" borderId="12" xfId="0" applyFont="1" applyFill="1" applyBorder="1" applyAlignment="1" applyProtection="1">
      <alignment horizontal="left"/>
      <protection hidden="1"/>
    </xf>
    <xf numFmtId="0" fontId="3" fillId="0" borderId="0" xfId="0" applyFont="1" applyAlignment="1" applyProtection="1">
      <alignment horizontal="center"/>
      <protection hidden="1"/>
    </xf>
    <xf numFmtId="0" fontId="15" fillId="0" borderId="0" xfId="0" applyFont="1" applyAlignment="1" applyProtection="1">
      <alignment horizontal="center"/>
      <protection hidden="1"/>
    </xf>
  </cellXfs>
  <cellStyles count="6">
    <cellStyle name="Decrizione" xfId="1" xr:uid="{94E11E3A-E9C9-42F2-9EFF-025B3C5E4B6E}"/>
    <cellStyle name="Migliaia (0)_740-94" xfId="2" xr:uid="{51245830-ABA7-40AE-8D51-1C288272ED19}"/>
    <cellStyle name="Normale" xfId="0" builtinId="0"/>
    <cellStyle name="Normale 2" xfId="3" xr:uid="{8BB293C4-DEAF-449D-A0AF-9DC5F82521B3}"/>
    <cellStyle name="Normale_ICI2" xfId="4" xr:uid="{32BA12D3-23E1-4633-B4EF-AE4CB683C554}"/>
    <cellStyle name="Valuta (0)_740-94" xfId="5" xr:uid="{9FC3A211-C20F-40C7-B616-E6B244B00D5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Drop" dropLines="6" dropStyle="combo" dx="26" fmlaLink="$C$5" fmlaRange="Oggetti!$B$5:$B$10" noThreeD="1" sel="0" val="0"/>
</file>

<file path=xl/ctrlProps/ctrlProp31.xml><?xml version="1.0" encoding="utf-8"?>
<formControlPr xmlns="http://schemas.microsoft.com/office/spreadsheetml/2009/9/main" objectType="Drop" dropLines="6" dropStyle="combo" dx="26" fmlaLink="$C$6" fmlaRange="Oggetti!$B$5:$B$10" noThreeD="1" sel="0" val="0"/>
</file>

<file path=xl/ctrlProps/ctrlProp32.xml><?xml version="1.0" encoding="utf-8"?>
<formControlPr xmlns="http://schemas.microsoft.com/office/spreadsheetml/2009/9/main" objectType="Drop" dropLines="6" dropStyle="combo" dx="26" fmlaLink="$C$7" fmlaRange="Oggetti!$B$5:$B$10" noThreeD="1" sel="0" val="0"/>
</file>

<file path=xl/ctrlProps/ctrlProp33.xml><?xml version="1.0" encoding="utf-8"?>
<formControlPr xmlns="http://schemas.microsoft.com/office/spreadsheetml/2009/9/main" objectType="Drop" dropLines="6" dropStyle="combo" dx="26" fmlaLink="$C$8" fmlaRange="Oggetti!$B$5:$B$10" noThreeD="1" sel="0" val="0"/>
</file>

<file path=xl/ctrlProps/ctrlProp34.xml><?xml version="1.0" encoding="utf-8"?>
<formControlPr xmlns="http://schemas.microsoft.com/office/spreadsheetml/2009/9/main" objectType="Drop" dropLines="6" dropStyle="combo" dx="26" fmlaLink="$C$9" fmlaRange="Oggetti!$B$5:$B$10" noThreeD="1" sel="0" val="0"/>
</file>

<file path=xl/ctrlProps/ctrlProp35.xml><?xml version="1.0" encoding="utf-8"?>
<formControlPr xmlns="http://schemas.microsoft.com/office/spreadsheetml/2009/9/main" objectType="Drop" dropLines="6" dropStyle="combo" dx="26" fmlaLink="$C$10" fmlaRange="Oggetti!$B$5:$B$10" noThreeD="1" sel="0" val="0"/>
</file>

<file path=xl/ctrlProps/ctrlProp36.xml><?xml version="1.0" encoding="utf-8"?>
<formControlPr xmlns="http://schemas.microsoft.com/office/spreadsheetml/2009/9/main" objectType="Drop" dropLines="6" dropStyle="combo" dx="26" fmlaLink="$C$11" fmlaRange="Oggetti!$B$5:$B$10" noThreeD="1" sel="0" val="0"/>
</file>

<file path=xl/ctrlProps/ctrlProp37.xml><?xml version="1.0" encoding="utf-8"?>
<formControlPr xmlns="http://schemas.microsoft.com/office/spreadsheetml/2009/9/main" objectType="Drop" dropLines="6" dropStyle="combo" dx="26" fmlaLink="$C$12" fmlaRange="Oggetti!$B$5:$B$10" noThreeD="1" sel="0" val="0"/>
</file>

<file path=xl/ctrlProps/ctrlProp38.xml><?xml version="1.0" encoding="utf-8"?>
<formControlPr xmlns="http://schemas.microsoft.com/office/spreadsheetml/2009/9/main" objectType="Drop" dropLines="6" dropStyle="combo" dx="26" fmlaLink="$C$13" fmlaRange="Oggetti!$B$5:$B$10" noThreeD="1" sel="0" val="0"/>
</file>

<file path=xl/ctrlProps/ctrlProp39.xml><?xml version="1.0" encoding="utf-8"?>
<formControlPr xmlns="http://schemas.microsoft.com/office/spreadsheetml/2009/9/main" objectType="Drop" dropLines="6" dropStyle="combo" dx="26" fmlaLink="$C$14" fmlaRange="Oggetti!$B$5:$B$10" noThreeD="1" sel="0"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Drop" dropLines="6" dropStyle="combo" dx="26" fmlaLink="$C$15" fmlaRange="Oggetti!$B$5:$B$10" noThreeD="1" sel="0" val="0"/>
</file>

<file path=xl/ctrlProps/ctrlProp47.xml><?xml version="1.0" encoding="utf-8"?>
<formControlPr xmlns="http://schemas.microsoft.com/office/spreadsheetml/2009/9/main" objectType="Drop" dropLines="6" dropStyle="combo" dx="26" fmlaLink="$C$16" fmlaRange="Oggetti!$B$5:$B$10" noThreeD="1" sel="0" val="0"/>
</file>

<file path=xl/ctrlProps/ctrlProp48.xml><?xml version="1.0" encoding="utf-8"?>
<formControlPr xmlns="http://schemas.microsoft.com/office/spreadsheetml/2009/9/main" objectType="Drop" dropLines="6" dropStyle="combo" dx="26" fmlaLink="$C$17" fmlaRange="Oggetti!$B$5:$B$10" noThreeD="1" sel="0" val="0"/>
</file>

<file path=xl/ctrlProps/ctrlProp49.xml><?xml version="1.0" encoding="utf-8"?>
<formControlPr xmlns="http://schemas.microsoft.com/office/spreadsheetml/2009/9/main" objectType="Drop" dropLines="6" dropStyle="combo" dx="26" fmlaLink="$C$18" fmlaRange="Oggetti!$B$5:$B$10" noThreeD="1" sel="0" val="0"/>
</file>

<file path=xl/ctrlProps/ctrlProp50.xml><?xml version="1.0" encoding="utf-8"?>
<formControlPr xmlns="http://schemas.microsoft.com/office/spreadsheetml/2009/9/main" objectType="Drop" dropLines="6" dropStyle="combo" dx="26" fmlaLink="$C$19" fmlaRange="Oggetti!$B$5:$B$10" noThreeD="1" sel="0" val="0"/>
</file>

<file path=xl/ctrlProps/ctrlProp51.xml><?xml version="1.0" encoding="utf-8"?>
<formControlPr xmlns="http://schemas.microsoft.com/office/spreadsheetml/2009/9/main" objectType="Drop" dropLines="6" dropStyle="combo" dx="26" fmlaLink="$C$20" fmlaRange="Oggetti!$B$5:$B$10" noThreeD="1" sel="0" val="0"/>
</file>

<file path=xl/ctrlProps/ctrlProp52.xml><?xml version="1.0" encoding="utf-8"?>
<formControlPr xmlns="http://schemas.microsoft.com/office/spreadsheetml/2009/9/main" objectType="Drop" dropLines="6" dropStyle="combo" dx="26" fmlaLink="$C$21" fmlaRange="Oggetti!$B$5:$B$10" noThreeD="1" sel="0" val="0"/>
</file>

<file path=xl/ctrlProps/ctrlProp53.xml><?xml version="1.0" encoding="utf-8"?>
<formControlPr xmlns="http://schemas.microsoft.com/office/spreadsheetml/2009/9/main" objectType="Drop" dropLines="6" dropStyle="combo" dx="26" fmlaLink="$C$22" fmlaRange="Oggetti!$B$5:$B$10" noThreeD="1" sel="0" val="0"/>
</file>

<file path=xl/ctrlProps/ctrlProp54.xml><?xml version="1.0" encoding="utf-8"?>
<formControlPr xmlns="http://schemas.microsoft.com/office/spreadsheetml/2009/9/main" objectType="Drop" dropLines="6" dropStyle="combo" dx="26" fmlaLink="$C$23" fmlaRange="Oggetti!$B$5:$B$10" noThreeD="1" sel="0" val="0"/>
</file>

<file path=xl/ctrlProps/ctrlProp55.xml><?xml version="1.0" encoding="utf-8"?>
<formControlPr xmlns="http://schemas.microsoft.com/office/spreadsheetml/2009/9/main" objectType="Drop" dropLines="6" dropStyle="combo" dx="26" fmlaLink="$C$24" fmlaRange="Oggetti!$B$5:$B$10" noThreeD="1" sel="0" val="0"/>
</file>

<file path=xl/ctrlProps/ctrlProp56.xml><?xml version="1.0" encoding="utf-8"?>
<formControlPr xmlns="http://schemas.microsoft.com/office/spreadsheetml/2009/9/main" objectType="Drop" dropLines="6" dropStyle="combo" dx="26" fmlaLink="$C$25" fmlaRange="Oggetti!$B$5:$B$10" noThreeD="1" sel="0" val="0"/>
</file>

<file path=xl/ctrlProps/ctrlProp57.xml><?xml version="1.0" encoding="utf-8"?>
<formControlPr xmlns="http://schemas.microsoft.com/office/spreadsheetml/2009/9/main" objectType="Drop" dropLines="6" dropStyle="combo" dx="26" fmlaLink="$C$26" fmlaRange="Oggetti!$B$5:$B$10" noThreeD="1" sel="0" val="0"/>
</file>

<file path=xl/ctrlProps/ctrlProp58.xml><?xml version="1.0" encoding="utf-8"?>
<formControlPr xmlns="http://schemas.microsoft.com/office/spreadsheetml/2009/9/main" objectType="Drop" dropLines="6" dropStyle="combo" dx="26" fmlaLink="$C$27" fmlaRange="Oggetti!$B$5:$B$10" noThreeD="1" sel="0" val="0"/>
</file>

<file path=xl/ctrlProps/ctrlProp59.xml><?xml version="1.0" encoding="utf-8"?>
<formControlPr xmlns="http://schemas.microsoft.com/office/spreadsheetml/2009/9/main" objectType="Drop" dropLines="6" dropStyle="combo" dx="26" fmlaLink="$C$28" fmlaRange="Oggetti!$B$5:$B$10" noThreeD="1" sel="0" val="0"/>
</file>

<file path=xl/ctrlProps/ctrlProp60.xml><?xml version="1.0" encoding="utf-8"?>
<formControlPr xmlns="http://schemas.microsoft.com/office/spreadsheetml/2009/9/main" objectType="Drop" dropLines="6" dropStyle="combo" dx="26" fmlaLink="$C$29" fmlaRange="Oggetti!$B$5:$B$10" noThreeD="1" sel="0" val="0"/>
</file>

<file path=xl/ctrlProps/ctrlProp61.xml><?xml version="1.0" encoding="utf-8"?>
<formControlPr xmlns="http://schemas.microsoft.com/office/spreadsheetml/2009/9/main" objectType="Drop" dropLines="6" dropStyle="combo" dx="26" fmlaLink="$C$6" fmlaRange="Oggetti!$B$5:$B$10" noThreeD="1" sel="0" val="0"/>
</file>

<file path=xl/ctrlProps/ctrlProp62.xml><?xml version="1.0" encoding="utf-8"?>
<formControlPr xmlns="http://schemas.microsoft.com/office/spreadsheetml/2009/9/main" objectType="Drop" dropLines="6" dropStyle="combo" dx="26" fmlaLink="$C$7" fmlaRange="Oggetti!$B$5:$B$10" noThreeD="1" sel="0" val="0"/>
</file>

<file path=xl/ctrlProps/ctrlProp63.xml><?xml version="1.0" encoding="utf-8"?>
<formControlPr xmlns="http://schemas.microsoft.com/office/spreadsheetml/2009/9/main" objectType="Drop" dropLines="6" dropStyle="combo" dx="26" fmlaLink="$C$8" fmlaRange="Oggetti!$B$5:$B$10" noThreeD="1" sel="0" val="0"/>
</file>

<file path=xl/ctrlProps/ctrlProp64.xml><?xml version="1.0" encoding="utf-8"?>
<formControlPr xmlns="http://schemas.microsoft.com/office/spreadsheetml/2009/9/main" objectType="Drop" dropLines="6" dropStyle="combo" dx="26" fmlaLink="$C$9" fmlaRange="Oggetti!$B$5:$B$10" noThreeD="1" sel="0" val="0"/>
</file>

<file path=xl/ctrlProps/ctrlProp65.xml><?xml version="1.0" encoding="utf-8"?>
<formControlPr xmlns="http://schemas.microsoft.com/office/spreadsheetml/2009/9/main" objectType="Drop" dropLines="6" dropStyle="combo" dx="26" fmlaLink="$C$10" fmlaRange="Oggetti!$B$5:$B$10" noThreeD="1" sel="0" val="0"/>
</file>

<file path=xl/ctrlProps/ctrlProp66.xml><?xml version="1.0" encoding="utf-8"?>
<formControlPr xmlns="http://schemas.microsoft.com/office/spreadsheetml/2009/9/main" objectType="Drop" dropLines="6" dropStyle="combo" dx="26" fmlaLink="$C$11" fmlaRange="Oggetti!$B$5:$B$10" noThreeD="1" sel="0" val="0"/>
</file>

<file path=xl/ctrlProps/ctrlProp67.xml><?xml version="1.0" encoding="utf-8"?>
<formControlPr xmlns="http://schemas.microsoft.com/office/spreadsheetml/2009/9/main" objectType="Drop" dropLines="6" dropStyle="combo" dx="26" fmlaLink="$C$12" fmlaRange="Oggetti!$B$5:$B$10" noThreeD="1" sel="0" val="0"/>
</file>

<file path=xl/ctrlProps/ctrlProp68.xml><?xml version="1.0" encoding="utf-8"?>
<formControlPr xmlns="http://schemas.microsoft.com/office/spreadsheetml/2009/9/main" objectType="Drop" dropLines="6" dropStyle="combo" dx="26" fmlaLink="$C$13" fmlaRange="Oggetti!$B$5:$B$10" noThreeD="1" sel="0" val="0"/>
</file>

<file path=xl/ctrlProps/ctrlProp69.xml><?xml version="1.0" encoding="utf-8"?>
<formControlPr xmlns="http://schemas.microsoft.com/office/spreadsheetml/2009/9/main" objectType="Drop" dropLines="6" dropStyle="combo" dx="26" fmlaLink="$C$14" fmlaRange="Oggetti!$B$5:$B$10" noThreeD="1" sel="0" val="0"/>
</file>

<file path=xl/ctrlProps/ctrlProp70.xml><?xml version="1.0" encoding="utf-8"?>
<formControlPr xmlns="http://schemas.microsoft.com/office/spreadsheetml/2009/9/main" objectType="Drop" dropLines="6" dropStyle="combo" dx="26" fmlaLink="$C$15" fmlaRange="Oggetti!$B$5:$B$10" noThreeD="1" sel="0" val="0"/>
</file>

<file path=xl/ctrlProps/ctrlProp71.xml><?xml version="1.0" encoding="utf-8"?>
<formControlPr xmlns="http://schemas.microsoft.com/office/spreadsheetml/2009/9/main" objectType="Drop" dropLines="6" dropStyle="combo" dx="26" fmlaLink="$C$16" fmlaRange="Oggetti!$B$5:$B$10" noThreeD="1" sel="0" val="0"/>
</file>

<file path=xl/ctrlProps/ctrlProp72.xml><?xml version="1.0" encoding="utf-8"?>
<formControlPr xmlns="http://schemas.microsoft.com/office/spreadsheetml/2009/9/main" objectType="Drop" dropLines="6" dropStyle="combo" dx="26" fmlaLink="$C$17" fmlaRange="Oggetti!$B$5:$B$10" noThreeD="1" sel="0" val="0"/>
</file>

<file path=xl/ctrlProps/ctrlProp73.xml><?xml version="1.0" encoding="utf-8"?>
<formControlPr xmlns="http://schemas.microsoft.com/office/spreadsheetml/2009/9/main" objectType="Drop" dropLines="6" dropStyle="combo" dx="26" fmlaLink="$C$18" fmlaRange="Oggetti!$B$5:$B$10" noThreeD="1" sel="0" val="0"/>
</file>

<file path=xl/ctrlProps/ctrlProp74.xml><?xml version="1.0" encoding="utf-8"?>
<formControlPr xmlns="http://schemas.microsoft.com/office/spreadsheetml/2009/9/main" objectType="Drop" dropLines="6" dropStyle="combo" dx="26" fmlaLink="$C$19" fmlaRange="Oggetti!$B$5:$B$10" noThreeD="1" sel="0" val="0"/>
</file>

<file path=xl/ctrlProps/ctrlProp75.xml><?xml version="1.0" encoding="utf-8"?>
<formControlPr xmlns="http://schemas.microsoft.com/office/spreadsheetml/2009/9/main" objectType="Drop" dropLines="6" dropStyle="combo" dx="26" fmlaLink="$C$20" fmlaRange="Oggetti!$B$5:$B$10" noThreeD="1" sel="0" val="0"/>
</file>

<file path=xl/ctrlProps/ctrlProp76.xml><?xml version="1.0" encoding="utf-8"?>
<formControlPr xmlns="http://schemas.microsoft.com/office/spreadsheetml/2009/9/main" objectType="Drop" dropLines="6" dropStyle="combo" dx="26" fmlaLink="$C$21" fmlaRange="Oggetti!$B$5:$B$10" noThreeD="1" sel="0" val="0"/>
</file>

<file path=xl/ctrlProps/ctrlProp77.xml><?xml version="1.0" encoding="utf-8"?>
<formControlPr xmlns="http://schemas.microsoft.com/office/spreadsheetml/2009/9/main" objectType="Drop" dropLines="6" dropStyle="combo" dx="26" fmlaLink="$C$22" fmlaRange="Oggetti!$B$5:$B$10" noThreeD="1" sel="0" val="0"/>
</file>

<file path=xl/ctrlProps/ctrlProp78.xml><?xml version="1.0" encoding="utf-8"?>
<formControlPr xmlns="http://schemas.microsoft.com/office/spreadsheetml/2009/9/main" objectType="Drop" dropLines="6" dropStyle="combo" dx="26" fmlaLink="$C$23" fmlaRange="Oggetti!$B$5:$B$10" noThreeD="1" sel="0" val="0"/>
</file>

<file path=xl/ctrlProps/ctrlProp79.xml><?xml version="1.0" encoding="utf-8"?>
<formControlPr xmlns="http://schemas.microsoft.com/office/spreadsheetml/2009/9/main" objectType="Drop" dropLines="6" dropStyle="combo" dx="26" fmlaLink="$C$24" fmlaRange="Oggetti!$B$5:$B$10" noThreeD="1" sel="0" val="0"/>
</file>

<file path=xl/ctrlProps/ctrlProp80.xml><?xml version="1.0" encoding="utf-8"?>
<formControlPr xmlns="http://schemas.microsoft.com/office/spreadsheetml/2009/9/main" objectType="Drop" dropLines="6" dropStyle="combo" dx="26" fmlaLink="$C$25" fmlaRange="Oggetti!$B$5:$B$10" noThreeD="1" sel="0" val="0"/>
</file>

<file path=xl/ctrlProps/ctrlProp81.xml><?xml version="1.0" encoding="utf-8"?>
<formControlPr xmlns="http://schemas.microsoft.com/office/spreadsheetml/2009/9/main" objectType="Drop" dropLines="6" dropStyle="combo" dx="26" fmlaLink="$C$26" fmlaRange="Oggetti!$B$5:$B$10" noThreeD="1" sel="0" val="0"/>
</file>

<file path=xl/ctrlProps/ctrlProp82.xml><?xml version="1.0" encoding="utf-8"?>
<formControlPr xmlns="http://schemas.microsoft.com/office/spreadsheetml/2009/9/main" objectType="Drop" dropLines="6" dropStyle="combo" dx="26" fmlaLink="$C$27" fmlaRange="Oggetti!$B$5:$B$10" noThreeD="1" sel="0" val="0"/>
</file>

<file path=xl/ctrlProps/ctrlProp83.xml><?xml version="1.0" encoding="utf-8"?>
<formControlPr xmlns="http://schemas.microsoft.com/office/spreadsheetml/2009/9/main" objectType="Drop" dropLines="6" dropStyle="combo" dx="26" fmlaLink="$C$28" fmlaRange="Oggetti!$B$5:$B$10" noThreeD="1" sel="0" val="0"/>
</file>

<file path=xl/ctrlProps/ctrlProp84.xml><?xml version="1.0" encoding="utf-8"?>
<formControlPr xmlns="http://schemas.microsoft.com/office/spreadsheetml/2009/9/main" objectType="Drop" dropLines="6" dropStyle="combo" dx="26" fmlaLink="$C$29" fmlaRange="Oggetti!$B$5:$B$10" noThreeD="1" sel="0" val="0"/>
</file>

<file path=xl/ctrlProps/ctrlProp85.xml><?xml version="1.0" encoding="utf-8"?>
<formControlPr xmlns="http://schemas.microsoft.com/office/spreadsheetml/2009/9/main" objectType="Drop" dropLines="2" dropStyle="combo" dx="26" fmlaLink="$D$9" fmlaRange="Oggetti!$B$12:$B$13" noThreeD="1" sel="0" val="0"/>
</file>

<file path=xl/ctrlProps/ctrlProp86.xml><?xml version="1.0" encoding="utf-8"?>
<formControlPr xmlns="http://schemas.microsoft.com/office/spreadsheetml/2009/9/main" objectType="Drop" dropLines="2" dropStyle="combo" dx="26" fmlaLink="$D$10" fmlaRange="Oggetti!$B$12:$B$13" noThreeD="1" sel="0" val="0"/>
</file>

<file path=xl/ctrlProps/ctrlProp87.xml><?xml version="1.0" encoding="utf-8"?>
<formControlPr xmlns="http://schemas.microsoft.com/office/spreadsheetml/2009/9/main" objectType="Drop" dropLines="2" dropStyle="combo" dx="26" fmlaLink="$D$11" fmlaRange="Oggetti!$B$12:$B$13" noThreeD="1" sel="0" val="0"/>
</file>

<file path=xl/ctrlProps/ctrlProp88.xml><?xml version="1.0" encoding="utf-8"?>
<formControlPr xmlns="http://schemas.microsoft.com/office/spreadsheetml/2009/9/main" objectType="Drop" dropLines="2" dropStyle="combo" dx="26" fmlaLink="$D$12" fmlaRange="Oggetti!$B$12:$B$13" noThreeD="1" sel="0" val="0"/>
</file>

<file path=xl/ctrlProps/ctrlProp89.xml><?xml version="1.0" encoding="utf-8"?>
<formControlPr xmlns="http://schemas.microsoft.com/office/spreadsheetml/2009/9/main" objectType="Drop" dropLines="2" dropStyle="combo" dx="26" fmlaLink="$D$13" fmlaRange="Oggetti!$B$12:$B$13" noThreeD="1" sel="0" val="0"/>
</file>

<file path=xl/ctrlProps/ctrlProp90.xml><?xml version="1.0" encoding="utf-8"?>
<formControlPr xmlns="http://schemas.microsoft.com/office/spreadsheetml/2009/9/main" objectType="Drop" dropLines="2" dropStyle="combo" dx="26" fmlaLink="$D$14" fmlaRange="Oggetti!$B$12:$B$13" noThreeD="1" sel="0" val="0"/>
</file>

<file path=xl/ctrlProps/ctrlProp91.xml><?xml version="1.0" encoding="utf-8"?>
<formControlPr xmlns="http://schemas.microsoft.com/office/spreadsheetml/2009/9/main" objectType="Drop" dropLines="2" dropStyle="combo" dx="26" fmlaLink="$D$15" fmlaRange="Oggetti!$B$12:$B$13" noThreeD="1" sel="0" val="0"/>
</file>

<file path=xl/ctrlProps/ctrlProp92.xml><?xml version="1.0" encoding="utf-8"?>
<formControlPr xmlns="http://schemas.microsoft.com/office/spreadsheetml/2009/9/main" objectType="Drop" dropLines="2" dropStyle="combo" dx="26" fmlaLink="$D$16" fmlaRange="Oggetti!$B$12:$B$13" noThreeD="1" sel="0" val="0"/>
</file>

<file path=xl/ctrlProps/ctrlProp93.xml><?xml version="1.0" encoding="utf-8"?>
<formControlPr xmlns="http://schemas.microsoft.com/office/spreadsheetml/2009/9/main" objectType="Drop" dropLines="2" dropStyle="combo" dx="26" fmlaLink="$D$17" fmlaRange="Oggetti!$B$12:$B$13" noThreeD="1" sel="0" val="0"/>
</file>

<file path=xl/ctrlProps/ctrlProp94.xml><?xml version="1.0" encoding="utf-8"?>
<formControlPr xmlns="http://schemas.microsoft.com/office/spreadsheetml/2009/9/main" objectType="Drop" dropLines="2" dropStyle="combo" dx="26" fmlaLink="$D$18" fmlaRange="Oggetti!$B$12:$B$13" noThreeD="1" sel="0" val="0"/>
</file>

<file path=xl/ctrlProps/ctrlProp95.xml><?xml version="1.0" encoding="utf-8"?>
<formControlPr xmlns="http://schemas.microsoft.com/office/spreadsheetml/2009/9/main" objectType="Drop" dropLines="2" dropStyle="combo" dx="26" fmlaLink="$D$19" fmlaRange="Oggetti!$B$12:$B$13" noThreeD="1" sel="0" val="0"/>
</file>

<file path=xl/ctrlProps/ctrlProp96.xml><?xml version="1.0" encoding="utf-8"?>
<formControlPr xmlns="http://schemas.microsoft.com/office/spreadsheetml/2009/9/main" objectType="Drop" dropLines="2" dropStyle="combo" dx="26" fmlaLink="$D$20" fmlaRange="Oggetti!$B$12:$B$13" noThreeD="1" sel="0" val="0"/>
</file>

<file path=xl/ctrlProps/ctrlProp97.xml><?xml version="1.0" encoding="utf-8"?>
<formControlPr xmlns="http://schemas.microsoft.com/office/spreadsheetml/2009/9/main" objectType="Drop" dropLines="2" dropStyle="combo" dx="26" fmlaLink="$D$21" fmlaRange="Oggetti!$B$12:$B$13" noThreeD="1" sel="0" val="0"/>
</file>

<file path=xl/ctrlProps/ctrlProp98.xml><?xml version="1.0" encoding="utf-8"?>
<formControlPr xmlns="http://schemas.microsoft.com/office/spreadsheetml/2009/9/main" objectType="Drop" dropLines="2" dropStyle="combo" dx="26" fmlaLink="$D$22" fmlaRange="Oggetti!$B$12:$B$13" noThreeD="1" sel="0" val="0"/>
</file>

<file path=xl/ctrlProps/ctrlProp99.xml><?xml version="1.0" encoding="utf-8"?>
<formControlPr xmlns="http://schemas.microsoft.com/office/spreadsheetml/2009/9/main" objectType="Drop" dropLines="2" dropStyle="combo" dx="26" fmlaLink="$D$23" fmlaRange="Oggetti!$B$12:$B$13" noThreeD="1" sel="0" val="0"/>
</file>

<file path=xl/ctrlProps/ctrlProp100.xml><?xml version="1.0" encoding="utf-8"?>
<formControlPr xmlns="http://schemas.microsoft.com/office/spreadsheetml/2009/9/main" objectType="Drop" dropLines="2" dropStyle="combo" dx="26" fmlaLink="$D$24" fmlaRange="Oggetti!$B$12:$B$13" noThreeD="1" sel="0" val="0"/>
</file>

<file path=xl/ctrlProps/ctrlProp101.xml><?xml version="1.0" encoding="utf-8"?>
<formControlPr xmlns="http://schemas.microsoft.com/office/spreadsheetml/2009/9/main" objectType="Drop" dropLines="2" dropStyle="combo" dx="26" fmlaLink="$D$25" fmlaRange="Oggetti!$B$12:$B$13" noThreeD="1" sel="0" val="0"/>
</file>

<file path=xl/ctrlProps/ctrlProp102.xml><?xml version="1.0" encoding="utf-8"?>
<formControlPr xmlns="http://schemas.microsoft.com/office/spreadsheetml/2009/9/main" objectType="Drop" dropLines="2" dropStyle="combo" dx="26" fmlaLink="$D$26" fmlaRange="Oggetti!$B$12:$B$13" noThreeD="1" sel="0" val="0"/>
</file>

<file path=xl/ctrlProps/ctrlProp103.xml><?xml version="1.0" encoding="utf-8"?>
<formControlPr xmlns="http://schemas.microsoft.com/office/spreadsheetml/2009/9/main" objectType="Drop" dropLines="2" dropStyle="combo" dx="26" fmlaLink="$D$27" fmlaRange="Oggetti!$B$12:$B$13" noThreeD="1" sel="0" val="0"/>
</file>

<file path=xl/ctrlProps/ctrlProp104.xml><?xml version="1.0" encoding="utf-8"?>
<formControlPr xmlns="http://schemas.microsoft.com/office/spreadsheetml/2009/9/main" objectType="Drop" dropLines="2" dropStyle="combo" dx="26" fmlaLink="$D$28" fmlaRange="Oggetti!$B$12:$B$13" noThreeD="1" sel="0" val="0"/>
</file>

<file path=xl/ctrlProps/ctrlProp105.xml><?xml version="1.0" encoding="utf-8"?>
<formControlPr xmlns="http://schemas.microsoft.com/office/spreadsheetml/2009/9/main" objectType="Drop" dropLines="2" dropStyle="combo" dx="26" fmlaLink="$D$29" fmlaRange="Oggetti!$B$12:$B$13" noThreeD="1" sel="0" val="0"/>
</file>

<file path=xl/ctrlProps/ctrlProp106.xml><?xml version="1.0" encoding="utf-8"?>
<formControlPr xmlns="http://schemas.microsoft.com/office/spreadsheetml/2009/9/main" objectType="Drop" dropLines="2" dropStyle="combo" dx="26" fmlaLink="$D$5" fmlaRange="Oggetti!$B$12:$B$13" noThreeD="1" sel="0" val="0"/>
</file>

<file path=xl/ctrlProps/ctrlProp107.xml><?xml version="1.0" encoding="utf-8"?>
<formControlPr xmlns="http://schemas.microsoft.com/office/spreadsheetml/2009/9/main" objectType="Drop" dropLines="2" dropStyle="combo" dx="26" fmlaLink="$D$6" fmlaRange="Oggetti!$B$12:$B$13" noThreeD="1" sel="0" val="0"/>
</file>

<file path=xl/ctrlProps/ctrlProp108.xml><?xml version="1.0" encoding="utf-8"?>
<formControlPr xmlns="http://schemas.microsoft.com/office/spreadsheetml/2009/9/main" objectType="Drop" dropLines="2" dropStyle="combo" dx="26" fmlaLink="$D$7" fmlaRange="Oggetti!$B$12:$B$13" noThreeD="1" sel="0" val="0"/>
</file>

<file path=xl/ctrlProps/ctrlProp109.xml><?xml version="1.0" encoding="utf-8"?>
<formControlPr xmlns="http://schemas.microsoft.com/office/spreadsheetml/2009/9/main" objectType="Drop" dropLines="2" dropStyle="combo" dx="26" fmlaLink="$D$8" fmlaRange="Oggetti!$B$12:$B$13" noThreeD="1" sel="0" val="0"/>
</file>

<file path=xl/ctrlProps/ctrlProp110.xml><?xml version="1.0" encoding="utf-8"?>
<formControlPr xmlns="http://schemas.microsoft.com/office/spreadsheetml/2009/9/main" objectType="Drop" dropLines="2" dropStyle="combo" dx="26" fmlaLink="$E$9" fmlaRange="Oggetti!$B$12:$B$13" noThreeD="1" sel="0" val="0"/>
</file>

<file path=xl/ctrlProps/ctrlProp111.xml><?xml version="1.0" encoding="utf-8"?>
<formControlPr xmlns="http://schemas.microsoft.com/office/spreadsheetml/2009/9/main" objectType="Drop" dropLines="2" dropStyle="combo" dx="26" fmlaLink="$E$10" fmlaRange="Oggetti!$B$12:$B$13" noThreeD="1" sel="0" val="0"/>
</file>

<file path=xl/ctrlProps/ctrlProp112.xml><?xml version="1.0" encoding="utf-8"?>
<formControlPr xmlns="http://schemas.microsoft.com/office/spreadsheetml/2009/9/main" objectType="Drop" dropLines="2" dropStyle="combo" dx="26" fmlaLink="$E$11" fmlaRange="Oggetti!$B$12:$B$13" noThreeD="1" sel="0" val="0"/>
</file>

<file path=xl/ctrlProps/ctrlProp113.xml><?xml version="1.0" encoding="utf-8"?>
<formControlPr xmlns="http://schemas.microsoft.com/office/spreadsheetml/2009/9/main" objectType="Drop" dropLines="2" dropStyle="combo" dx="26" fmlaLink="$E$12" fmlaRange="Oggetti!$B$12:$B$13" noThreeD="1" sel="0" val="0"/>
</file>

<file path=xl/ctrlProps/ctrlProp114.xml><?xml version="1.0" encoding="utf-8"?>
<formControlPr xmlns="http://schemas.microsoft.com/office/spreadsheetml/2009/9/main" objectType="Drop" dropLines="2" dropStyle="combo" dx="26" fmlaLink="$E$13" fmlaRange="Oggetti!$B$12:$B$13" noThreeD="1" sel="0" val="0"/>
</file>

<file path=xl/ctrlProps/ctrlProp115.xml><?xml version="1.0" encoding="utf-8"?>
<formControlPr xmlns="http://schemas.microsoft.com/office/spreadsheetml/2009/9/main" objectType="Drop" dropLines="2" dropStyle="combo" dx="26" fmlaLink="$E$14" fmlaRange="Oggetti!$B$12:$B$13" noThreeD="1" sel="0" val="0"/>
</file>

<file path=xl/ctrlProps/ctrlProp116.xml><?xml version="1.0" encoding="utf-8"?>
<formControlPr xmlns="http://schemas.microsoft.com/office/spreadsheetml/2009/9/main" objectType="Drop" dropLines="2" dropStyle="combo" dx="26" fmlaLink="$E$15" fmlaRange="Oggetti!$B$12:$B$13" noThreeD="1" sel="0" val="0"/>
</file>

<file path=xl/ctrlProps/ctrlProp117.xml><?xml version="1.0" encoding="utf-8"?>
<formControlPr xmlns="http://schemas.microsoft.com/office/spreadsheetml/2009/9/main" objectType="Drop" dropLines="2" dropStyle="combo" dx="26" fmlaLink="$E$16" fmlaRange="Oggetti!$B$12:$B$13" noThreeD="1" sel="0" val="0"/>
</file>

<file path=xl/ctrlProps/ctrlProp118.xml><?xml version="1.0" encoding="utf-8"?>
<formControlPr xmlns="http://schemas.microsoft.com/office/spreadsheetml/2009/9/main" objectType="Drop" dropLines="2" dropStyle="combo" dx="26" fmlaLink="$E$17" fmlaRange="Oggetti!$B$12:$B$13" noThreeD="1" sel="0" val="0"/>
</file>

<file path=xl/ctrlProps/ctrlProp119.xml><?xml version="1.0" encoding="utf-8"?>
<formControlPr xmlns="http://schemas.microsoft.com/office/spreadsheetml/2009/9/main" objectType="Drop" dropLines="2" dropStyle="combo" dx="26" fmlaLink="$E$18" fmlaRange="Oggetti!$B$12:$B$13" noThreeD="1" sel="0" val="0"/>
</file>

<file path=xl/ctrlProps/ctrlProp120.xml><?xml version="1.0" encoding="utf-8"?>
<formControlPr xmlns="http://schemas.microsoft.com/office/spreadsheetml/2009/9/main" objectType="Drop" dropLines="2" dropStyle="combo" dx="26" fmlaLink="$E$19" fmlaRange="Oggetti!$B$12:$B$13" noThreeD="1" sel="0" val="0"/>
</file>

<file path=xl/ctrlProps/ctrlProp121.xml><?xml version="1.0" encoding="utf-8"?>
<formControlPr xmlns="http://schemas.microsoft.com/office/spreadsheetml/2009/9/main" objectType="Drop" dropLines="2" dropStyle="combo" dx="26" fmlaLink="$E$20" fmlaRange="Oggetti!$B$12:$B$13" noThreeD="1" sel="0" val="0"/>
</file>

<file path=xl/ctrlProps/ctrlProp122.xml><?xml version="1.0" encoding="utf-8"?>
<formControlPr xmlns="http://schemas.microsoft.com/office/spreadsheetml/2009/9/main" objectType="Drop" dropLines="2" dropStyle="combo" dx="26" fmlaLink="$E$21" fmlaRange="Oggetti!$B$12:$B$13" noThreeD="1" sel="0" val="0"/>
</file>

<file path=xl/ctrlProps/ctrlProp123.xml><?xml version="1.0" encoding="utf-8"?>
<formControlPr xmlns="http://schemas.microsoft.com/office/spreadsheetml/2009/9/main" objectType="Drop" dropLines="2" dropStyle="combo" dx="26" fmlaLink="$E$22" fmlaRange="Oggetti!$B$12:$B$13" noThreeD="1" sel="0" val="0"/>
</file>

<file path=xl/ctrlProps/ctrlProp124.xml><?xml version="1.0" encoding="utf-8"?>
<formControlPr xmlns="http://schemas.microsoft.com/office/spreadsheetml/2009/9/main" objectType="Drop" dropLines="2" dropStyle="combo" dx="26" fmlaLink="$E$23" fmlaRange="Oggetti!$B$12:$B$13" noThreeD="1" sel="0" val="0"/>
</file>

<file path=xl/ctrlProps/ctrlProp125.xml><?xml version="1.0" encoding="utf-8"?>
<formControlPr xmlns="http://schemas.microsoft.com/office/spreadsheetml/2009/9/main" objectType="Drop" dropLines="2" dropStyle="combo" dx="26" fmlaLink="$E$24" fmlaRange="Oggetti!$B$12:$B$13" noThreeD="1" sel="0" val="0"/>
</file>

<file path=xl/ctrlProps/ctrlProp126.xml><?xml version="1.0" encoding="utf-8"?>
<formControlPr xmlns="http://schemas.microsoft.com/office/spreadsheetml/2009/9/main" objectType="Drop" dropLines="2" dropStyle="combo" dx="26" fmlaLink="$E$25" fmlaRange="Oggetti!$B$12:$B$13" noThreeD="1" sel="0" val="0"/>
</file>

<file path=xl/ctrlProps/ctrlProp127.xml><?xml version="1.0" encoding="utf-8"?>
<formControlPr xmlns="http://schemas.microsoft.com/office/spreadsheetml/2009/9/main" objectType="Drop" dropLines="2" dropStyle="combo" dx="26" fmlaLink="$E$26" fmlaRange="Oggetti!$B$12:$B$13" noThreeD="1" sel="0" val="0"/>
</file>

<file path=xl/ctrlProps/ctrlProp128.xml><?xml version="1.0" encoding="utf-8"?>
<formControlPr xmlns="http://schemas.microsoft.com/office/spreadsheetml/2009/9/main" objectType="Drop" dropLines="2" dropStyle="combo" dx="26" fmlaLink="$E$27" fmlaRange="Oggetti!$B$12:$B$13" noThreeD="1" sel="0" val="0"/>
</file>

<file path=xl/ctrlProps/ctrlProp129.xml><?xml version="1.0" encoding="utf-8"?>
<formControlPr xmlns="http://schemas.microsoft.com/office/spreadsheetml/2009/9/main" objectType="Drop" dropLines="2" dropStyle="combo" dx="26" fmlaLink="$E$28" fmlaRange="Oggetti!$B$12:$B$13" noThreeD="1" sel="0" val="0"/>
</file>

<file path=xl/ctrlProps/ctrlProp130.xml><?xml version="1.0" encoding="utf-8"?>
<formControlPr xmlns="http://schemas.microsoft.com/office/spreadsheetml/2009/9/main" objectType="Drop" dropLines="2" dropStyle="combo" dx="26" fmlaLink="$E$29" fmlaRange="Oggetti!$B$12:$B$13" noThreeD="1" sel="0" val="0"/>
</file>

<file path=xl/ctrlProps/ctrlProp131.xml><?xml version="1.0" encoding="utf-8"?>
<formControlPr xmlns="http://schemas.microsoft.com/office/spreadsheetml/2009/9/main" objectType="Drop" dropLines="2" dropStyle="combo" dx="26" fmlaLink="$E$5" fmlaRange="Oggetti!$B$12:$B$13" noThreeD="1" sel="0" val="0"/>
</file>

<file path=xl/ctrlProps/ctrlProp132.xml><?xml version="1.0" encoding="utf-8"?>
<formControlPr xmlns="http://schemas.microsoft.com/office/spreadsheetml/2009/9/main" objectType="Drop" dropLines="2" dropStyle="combo" dx="26" fmlaLink="$E$6" fmlaRange="Oggetti!$B$12:$B$13" noThreeD="1" sel="0" val="0"/>
</file>

<file path=xl/ctrlProps/ctrlProp133.xml><?xml version="1.0" encoding="utf-8"?>
<formControlPr xmlns="http://schemas.microsoft.com/office/spreadsheetml/2009/9/main" objectType="Drop" dropLines="2" dropStyle="combo" dx="26" fmlaLink="$E$7" fmlaRange="Oggetti!$B$12:$B$13" noThreeD="1" sel="0" val="0"/>
</file>

<file path=xl/ctrlProps/ctrlProp134.xml><?xml version="1.0" encoding="utf-8"?>
<formControlPr xmlns="http://schemas.microsoft.com/office/spreadsheetml/2009/9/main" objectType="Drop" dropLines="2" dropStyle="combo" dx="26" fmlaLink="$E$8" fmlaRange="Oggetti!$B$12:$B$13" noThreeD="1" sel="0" val="0"/>
</file>

<file path=xl/ctrlProps/ctrlProp135.xml><?xml version="1.0" encoding="utf-8"?>
<formControlPr xmlns="http://schemas.microsoft.com/office/spreadsheetml/2009/9/main" objectType="Drop" dropLines="2" dropStyle="combo" dx="26" fmlaLink="$F$9" fmlaRange="Oggetti!$B$12:$B$13" noThreeD="1" sel="0" val="0"/>
</file>

<file path=xl/ctrlProps/ctrlProp136.xml><?xml version="1.0" encoding="utf-8"?>
<formControlPr xmlns="http://schemas.microsoft.com/office/spreadsheetml/2009/9/main" objectType="Drop" dropLines="2" dropStyle="combo" dx="26" fmlaLink="$F$10" fmlaRange="Oggetti!$B$12:$B$13" noThreeD="1" sel="0" val="0"/>
</file>

<file path=xl/ctrlProps/ctrlProp137.xml><?xml version="1.0" encoding="utf-8"?>
<formControlPr xmlns="http://schemas.microsoft.com/office/spreadsheetml/2009/9/main" objectType="Drop" dropLines="2" dropStyle="combo" dx="26" fmlaLink="$F$11" fmlaRange="Oggetti!$B$12:$B$13" noThreeD="1" sel="0" val="0"/>
</file>

<file path=xl/ctrlProps/ctrlProp138.xml><?xml version="1.0" encoding="utf-8"?>
<formControlPr xmlns="http://schemas.microsoft.com/office/spreadsheetml/2009/9/main" objectType="Drop" dropLines="2" dropStyle="combo" dx="26" fmlaLink="$F$12" fmlaRange="Oggetti!$B$12:$B$13" noThreeD="1" sel="0" val="0"/>
</file>

<file path=xl/ctrlProps/ctrlProp139.xml><?xml version="1.0" encoding="utf-8"?>
<formControlPr xmlns="http://schemas.microsoft.com/office/spreadsheetml/2009/9/main" objectType="Drop" dropLines="2" dropStyle="combo" dx="26" fmlaLink="$F$13" fmlaRange="Oggetti!$B$12:$B$13" noThreeD="1" sel="0" val="0"/>
</file>

<file path=xl/ctrlProps/ctrlProp140.xml><?xml version="1.0" encoding="utf-8"?>
<formControlPr xmlns="http://schemas.microsoft.com/office/spreadsheetml/2009/9/main" objectType="Drop" dropLines="2" dropStyle="combo" dx="26" fmlaLink="$F$14" fmlaRange="Oggetti!$B$12:$B$13" noThreeD="1" sel="0" val="0"/>
</file>

<file path=xl/ctrlProps/ctrlProp141.xml><?xml version="1.0" encoding="utf-8"?>
<formControlPr xmlns="http://schemas.microsoft.com/office/spreadsheetml/2009/9/main" objectType="Drop" dropLines="2" dropStyle="combo" dx="26" fmlaLink="$F$15" fmlaRange="Oggetti!$B$12:$B$13" noThreeD="1" sel="0" val="0"/>
</file>

<file path=xl/ctrlProps/ctrlProp142.xml><?xml version="1.0" encoding="utf-8"?>
<formControlPr xmlns="http://schemas.microsoft.com/office/spreadsheetml/2009/9/main" objectType="Drop" dropLines="2" dropStyle="combo" dx="26" fmlaLink="$F$16" fmlaRange="Oggetti!$B$12:$B$13" noThreeD="1" sel="0" val="0"/>
</file>

<file path=xl/ctrlProps/ctrlProp143.xml><?xml version="1.0" encoding="utf-8"?>
<formControlPr xmlns="http://schemas.microsoft.com/office/spreadsheetml/2009/9/main" objectType="Drop" dropLines="2" dropStyle="combo" dx="26" fmlaLink="$F$17" fmlaRange="Oggetti!$B$12:$B$13" noThreeD="1" sel="0" val="0"/>
</file>

<file path=xl/ctrlProps/ctrlProp144.xml><?xml version="1.0" encoding="utf-8"?>
<formControlPr xmlns="http://schemas.microsoft.com/office/spreadsheetml/2009/9/main" objectType="Drop" dropLines="2" dropStyle="combo" dx="26" fmlaLink="$F$18" fmlaRange="Oggetti!$B$12:$B$13" noThreeD="1" sel="0" val="0"/>
</file>

<file path=xl/ctrlProps/ctrlProp145.xml><?xml version="1.0" encoding="utf-8"?>
<formControlPr xmlns="http://schemas.microsoft.com/office/spreadsheetml/2009/9/main" objectType="Drop" dropLines="2" dropStyle="combo" dx="26" fmlaLink="$F$19" fmlaRange="Oggetti!$B$12:$B$13" noThreeD="1" sel="0" val="0"/>
</file>

<file path=xl/ctrlProps/ctrlProp146.xml><?xml version="1.0" encoding="utf-8"?>
<formControlPr xmlns="http://schemas.microsoft.com/office/spreadsheetml/2009/9/main" objectType="Drop" dropLines="2" dropStyle="combo" dx="26" fmlaLink="$F$20" fmlaRange="Oggetti!$B$12:$B$13" noThreeD="1" sel="0" val="0"/>
</file>

<file path=xl/ctrlProps/ctrlProp147.xml><?xml version="1.0" encoding="utf-8"?>
<formControlPr xmlns="http://schemas.microsoft.com/office/spreadsheetml/2009/9/main" objectType="Drop" dropLines="2" dropStyle="combo" dx="26" fmlaLink="$F$21" fmlaRange="Oggetti!$B$12:$B$13" noThreeD="1" sel="0" val="0"/>
</file>

<file path=xl/ctrlProps/ctrlProp148.xml><?xml version="1.0" encoding="utf-8"?>
<formControlPr xmlns="http://schemas.microsoft.com/office/spreadsheetml/2009/9/main" objectType="Drop" dropLines="2" dropStyle="combo" dx="26" fmlaLink="$F$22" fmlaRange="Oggetti!$B$12:$B$13" noThreeD="1" sel="0" val="0"/>
</file>

<file path=xl/ctrlProps/ctrlProp149.xml><?xml version="1.0" encoding="utf-8"?>
<formControlPr xmlns="http://schemas.microsoft.com/office/spreadsheetml/2009/9/main" objectType="Drop" dropLines="2" dropStyle="combo" dx="26" fmlaLink="$F$23" fmlaRange="Oggetti!$B$12:$B$13" noThreeD="1" sel="0" val="0"/>
</file>

<file path=xl/ctrlProps/ctrlProp150.xml><?xml version="1.0" encoding="utf-8"?>
<formControlPr xmlns="http://schemas.microsoft.com/office/spreadsheetml/2009/9/main" objectType="Drop" dropLines="2" dropStyle="combo" dx="26" fmlaLink="$F$24" fmlaRange="Oggetti!$B$12:$B$13" noThreeD="1" sel="0" val="0"/>
</file>

<file path=xl/ctrlProps/ctrlProp151.xml><?xml version="1.0" encoding="utf-8"?>
<formControlPr xmlns="http://schemas.microsoft.com/office/spreadsheetml/2009/9/main" objectType="Drop" dropLines="2" dropStyle="combo" dx="26" fmlaLink="$F$25" fmlaRange="Oggetti!$B$12:$B$13" noThreeD="1" sel="0" val="0"/>
</file>

<file path=xl/ctrlProps/ctrlProp152.xml><?xml version="1.0" encoding="utf-8"?>
<formControlPr xmlns="http://schemas.microsoft.com/office/spreadsheetml/2009/9/main" objectType="Drop" dropLines="2" dropStyle="combo" dx="26" fmlaLink="$F$26" fmlaRange="Oggetti!$B$12:$B$13" noThreeD="1" sel="0" val="0"/>
</file>

<file path=xl/ctrlProps/ctrlProp153.xml><?xml version="1.0" encoding="utf-8"?>
<formControlPr xmlns="http://schemas.microsoft.com/office/spreadsheetml/2009/9/main" objectType="Drop" dropLines="2" dropStyle="combo" dx="26" fmlaLink="$F$27" fmlaRange="Oggetti!$B$12:$B$13" noThreeD="1" sel="0" val="0"/>
</file>

<file path=xl/ctrlProps/ctrlProp154.xml><?xml version="1.0" encoding="utf-8"?>
<formControlPr xmlns="http://schemas.microsoft.com/office/spreadsheetml/2009/9/main" objectType="Drop" dropLines="2" dropStyle="combo" dx="26" fmlaLink="$F$28" fmlaRange="Oggetti!$B$12:$B$13" noThreeD="1" sel="0" val="0"/>
</file>

<file path=xl/ctrlProps/ctrlProp155.xml><?xml version="1.0" encoding="utf-8"?>
<formControlPr xmlns="http://schemas.microsoft.com/office/spreadsheetml/2009/9/main" objectType="Drop" dropLines="2" dropStyle="combo" dx="26" fmlaLink="$F$29" fmlaRange="Oggetti!$B$12:$B$13" noThreeD="1" sel="0" val="0"/>
</file>

<file path=xl/ctrlProps/ctrlProp156.xml><?xml version="1.0" encoding="utf-8"?>
<formControlPr xmlns="http://schemas.microsoft.com/office/spreadsheetml/2009/9/main" objectType="Drop" dropLines="2" dropStyle="combo" dx="26" fmlaLink="$F$5" fmlaRange="Oggetti!$B$12:$B$13" noThreeD="1" sel="0" val="0"/>
</file>

<file path=xl/ctrlProps/ctrlProp157.xml><?xml version="1.0" encoding="utf-8"?>
<formControlPr xmlns="http://schemas.microsoft.com/office/spreadsheetml/2009/9/main" objectType="Drop" dropLines="2" dropStyle="combo" dx="26" fmlaLink="$F$6" fmlaRange="Oggetti!$B$12:$B$13" noThreeD="1" sel="0" val="0"/>
</file>

<file path=xl/ctrlProps/ctrlProp158.xml><?xml version="1.0" encoding="utf-8"?>
<formControlPr xmlns="http://schemas.microsoft.com/office/spreadsheetml/2009/9/main" objectType="Drop" dropLines="2" dropStyle="combo" dx="26" fmlaLink="$F$7" fmlaRange="Oggetti!$B$12:$B$13" noThreeD="1" sel="0" val="0"/>
</file>

<file path=xl/ctrlProps/ctrlProp159.xml><?xml version="1.0" encoding="utf-8"?>
<formControlPr xmlns="http://schemas.microsoft.com/office/spreadsheetml/2009/9/main" objectType="Drop" dropLines="2" dropStyle="combo" dx="26" fmlaLink="$F$8" fmlaRange="Oggetti!$B$12:$B$13" noThreeD="1" sel="0" val="0"/>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www.ipsoa.it/"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1203960</xdr:colOff>
      <xdr:row>24</xdr:row>
      <xdr:rowOff>190500</xdr:rowOff>
    </xdr:from>
    <xdr:to>
      <xdr:col>3</xdr:col>
      <xdr:colOff>937260</xdr:colOff>
      <xdr:row>26</xdr:row>
      <xdr:rowOff>152400</xdr:rowOff>
    </xdr:to>
    <xdr:pic>
      <xdr:nvPicPr>
        <xdr:cNvPr id="1943" name="Picture 15" descr="H:\2008\EDITORIA\Infosettori\Revisione\wk_Italia_logo.gif">
          <a:hlinkClick xmlns:r="http://schemas.openxmlformats.org/officeDocument/2006/relationships" r:id="rId1"/>
          <a:extLst>
            <a:ext uri="{FF2B5EF4-FFF2-40B4-BE49-F238E27FC236}">
              <a16:creationId xmlns:a16="http://schemas.microsoft.com/office/drawing/2014/main" id="{26383A8E-6359-19BD-2BE0-113125FDC52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4180" y="4480560"/>
          <a:ext cx="1417320" cy="350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571500</xdr:colOff>
          <xdr:row>13</xdr:row>
          <xdr:rowOff>60960</xdr:rowOff>
        </xdr:from>
        <xdr:to>
          <xdr:col>2</xdr:col>
          <xdr:colOff>1059180</xdr:colOff>
          <xdr:row>15</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F1F30A3-8B9B-DA29-3A18-9F46141E106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Terreni agricoli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1440180</xdr:colOff>
          <xdr:row>13</xdr:row>
          <xdr:rowOff>60960</xdr:rowOff>
        </xdr:from>
        <xdr:to>
          <xdr:col>3</xdr:col>
          <xdr:colOff>853440</xdr:colOff>
          <xdr:row>15</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48E37D07-CF7D-57AE-5AB6-29085F628A9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Fabbricati rurali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16</xdr:row>
          <xdr:rowOff>60960</xdr:rowOff>
        </xdr:from>
        <xdr:to>
          <xdr:col>2</xdr:col>
          <xdr:colOff>1059180</xdr:colOff>
          <xdr:row>18</xdr:row>
          <xdr:rowOff>60960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CF852195-07CE-7D6A-F4B9-5F876E8B3E4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Altri fabbricati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1440180</xdr:colOff>
          <xdr:row>16</xdr:row>
          <xdr:rowOff>60960</xdr:rowOff>
        </xdr:from>
        <xdr:to>
          <xdr:col>3</xdr:col>
          <xdr:colOff>853440</xdr:colOff>
          <xdr:row>18</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EF86010A-0EB0-D079-499B-1DDFFCE9368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Aree fabbricabili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1165860</xdr:colOff>
          <xdr:row>16</xdr:row>
          <xdr:rowOff>60960</xdr:rowOff>
        </xdr:from>
        <xdr:to>
          <xdr:col>4</xdr:col>
          <xdr:colOff>68580</xdr:colOff>
          <xdr:row>18</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2966FAEB-CE5E-95CC-D4F0-F6222784C78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66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586740</xdr:colOff>
          <xdr:row>19</xdr:row>
          <xdr:rowOff>38100</xdr:rowOff>
        </xdr:from>
        <xdr:to>
          <xdr:col>2</xdr:col>
          <xdr:colOff>1066800</xdr:colOff>
          <xdr:row>21</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AA94D844-9B43-F1C7-5801-9382AC4CD82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tutti i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1188720</xdr:colOff>
          <xdr:row>19</xdr:row>
          <xdr:rowOff>38100</xdr:rowOff>
        </xdr:from>
        <xdr:to>
          <xdr:col>4</xdr:col>
          <xdr:colOff>91440</xdr:colOff>
          <xdr:row>21</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D6F49EBA-699A-6937-5A5E-3072EA33CB1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339966"/>
                  </a:solidFill>
                  <a:latin typeface="Arial"/>
                  <a:cs typeface="Arial"/>
                </a:rPr>
                <a:t>Istruzioni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1165860</xdr:colOff>
          <xdr:row>13</xdr:row>
          <xdr:rowOff>60960</xdr:rowOff>
        </xdr:from>
        <xdr:to>
          <xdr:col>4</xdr:col>
          <xdr:colOff>68580</xdr:colOff>
          <xdr:row>15</xdr:row>
          <xdr:rowOff>60960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9CBA1861-48DC-57D1-75F8-4DF84EC71DE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Abitazione principale</a:t>
              </a:r>
            </a:p>
          </xdr:txBody>
        </xdr:sp>
        <xdr:clientData fPrintsWithSheet="0"/>
      </xdr:twoCellAnchor>
    </mc:Choice>
    <mc:Fallback/>
  </mc:AlternateContent>
  <xdr:twoCellAnchor editAs="oneCell">
    <xdr:from>
      <xdr:col>0</xdr:col>
      <xdr:colOff>449580</xdr:colOff>
      <xdr:row>0</xdr:row>
      <xdr:rowOff>99060</xdr:rowOff>
    </xdr:from>
    <xdr:to>
      <xdr:col>7</xdr:col>
      <xdr:colOff>0</xdr:colOff>
      <xdr:row>3</xdr:row>
      <xdr:rowOff>160020</xdr:rowOff>
    </xdr:to>
    <xdr:pic>
      <xdr:nvPicPr>
        <xdr:cNvPr id="1944" name="Immagine 12">
          <a:extLst>
            <a:ext uri="{FF2B5EF4-FFF2-40B4-BE49-F238E27FC236}">
              <a16:creationId xmlns:a16="http://schemas.microsoft.com/office/drawing/2014/main" id="{CF649FA2-5A07-2A7B-4EB5-91896D4B1A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49580" y="99060"/>
          <a:ext cx="7018020"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411480</xdr:colOff>
          <xdr:row>0</xdr:row>
          <xdr:rowOff>60960</xdr:rowOff>
        </xdr:from>
        <xdr:to>
          <xdr:col>1</xdr:col>
          <xdr:colOff>1043940</xdr:colOff>
          <xdr:row>0</xdr:row>
          <xdr:rowOff>457200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E30E402C-734A-6046-CB77-9338F65A25F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1196340</xdr:colOff>
          <xdr:row>0</xdr:row>
          <xdr:rowOff>60960</xdr:rowOff>
        </xdr:from>
        <xdr:to>
          <xdr:col>2</xdr:col>
          <xdr:colOff>586740</xdr:colOff>
          <xdr:row>0</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B05B82E9-259C-EA00-9AEB-4A55BEB6292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Fabbricati rurali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274320</xdr:colOff>
          <xdr:row>0</xdr:row>
          <xdr:rowOff>68580</xdr:rowOff>
        </xdr:from>
        <xdr:to>
          <xdr:col>7</xdr:col>
          <xdr:colOff>0</xdr:colOff>
          <xdr:row>0</xdr:row>
          <xdr:rowOff>472440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E4815A34-E7FE-6BC9-4EAD-6CB597EBE2A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Altri fabbricati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0</xdr:row>
          <xdr:rowOff>68580</xdr:rowOff>
        </xdr:from>
        <xdr:to>
          <xdr:col>11</xdr:col>
          <xdr:colOff>739140</xdr:colOff>
          <xdr:row>0</xdr:row>
          <xdr:rowOff>472440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9BDDD068-CB07-5FBB-0C00-2A218D92E3F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Aree fabbricabili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853440</xdr:colOff>
          <xdr:row>0</xdr:row>
          <xdr:rowOff>68580</xdr:rowOff>
        </xdr:from>
        <xdr:to>
          <xdr:col>18</xdr:col>
          <xdr:colOff>68580</xdr:colOff>
          <xdr:row>0</xdr:row>
          <xdr:rowOff>472440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A15015A3-F79F-A8F4-A4B0-0928080E07E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68580</xdr:rowOff>
        </xdr:from>
        <xdr:to>
          <xdr:col>5</xdr:col>
          <xdr:colOff>83820</xdr:colOff>
          <xdr:row>0</xdr:row>
          <xdr:rowOff>472440</xdr:rowOff>
        </xdr:to>
        <xdr:sp macro="" textlink="">
          <xdr:nvSpPr>
            <xdr:cNvPr id="2054" name="Button 6" hidden="1">
              <a:extLst>
                <a:ext uri="{63B3BB69-23CF-44E3-9099-C40C66FF867C}">
                  <a14:compatExt spid="_x0000_s2054"/>
                </a:ext>
                <a:ext uri="{FF2B5EF4-FFF2-40B4-BE49-F238E27FC236}">
                  <a16:creationId xmlns:a16="http://schemas.microsoft.com/office/drawing/2014/main" id="{9E3BACB7-4B2C-AC82-BA56-7DA8FA5A91C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Abitazione principale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205740</xdr:colOff>
          <xdr:row>0</xdr:row>
          <xdr:rowOff>68580</xdr:rowOff>
        </xdr:from>
        <xdr:to>
          <xdr:col>19</xdr:col>
          <xdr:colOff>434340</xdr:colOff>
          <xdr:row>0</xdr:row>
          <xdr:rowOff>472440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60F34BC2-067F-90B8-2F3C-FE64707CBD9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dati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0</xdr:row>
          <xdr:rowOff>60960</xdr:rowOff>
        </xdr:from>
        <xdr:to>
          <xdr:col>1</xdr:col>
          <xdr:colOff>1112520</xdr:colOff>
          <xdr:row>0</xdr:row>
          <xdr:rowOff>464820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26804712-2759-E25C-C9A7-C9E05BD2F9F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1264920</xdr:colOff>
          <xdr:row>0</xdr:row>
          <xdr:rowOff>60960</xdr:rowOff>
        </xdr:from>
        <xdr:to>
          <xdr:col>3</xdr:col>
          <xdr:colOff>83820</xdr:colOff>
          <xdr:row>0</xdr:row>
          <xdr:rowOff>457200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267F079F-BEDE-A517-2464-C67CD6C97B4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Terreni agricoli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327660</xdr:colOff>
          <xdr:row>0</xdr:row>
          <xdr:rowOff>60960</xdr:rowOff>
        </xdr:from>
        <xdr:to>
          <xdr:col>7</xdr:col>
          <xdr:colOff>15240</xdr:colOff>
          <xdr:row>0</xdr:row>
          <xdr:rowOff>464820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6A96562C-5F3A-0737-5C3A-7D77EF614DC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Altri fabbricati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175260</xdr:colOff>
          <xdr:row>0</xdr:row>
          <xdr:rowOff>60960</xdr:rowOff>
        </xdr:from>
        <xdr:to>
          <xdr:col>8</xdr:col>
          <xdr:colOff>685800</xdr:colOff>
          <xdr:row>0</xdr:row>
          <xdr:rowOff>464820</xdr:rowOff>
        </xdr:to>
        <xdr:sp macro="" textlink="">
          <xdr:nvSpPr>
            <xdr:cNvPr id="7172" name="Button 4" hidden="1">
              <a:extLst>
                <a:ext uri="{63B3BB69-23CF-44E3-9099-C40C66FF867C}">
                  <a14:compatExt spid="_x0000_s7172"/>
                </a:ext>
                <a:ext uri="{FF2B5EF4-FFF2-40B4-BE49-F238E27FC236}">
                  <a16:creationId xmlns:a16="http://schemas.microsoft.com/office/drawing/2014/main" id="{1F3D4442-45BE-FC40-22CA-5B6D1D7E3A7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Aree fabbricabili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838200</xdr:colOff>
          <xdr:row>0</xdr:row>
          <xdr:rowOff>60960</xdr:rowOff>
        </xdr:from>
        <xdr:to>
          <xdr:col>10</xdr:col>
          <xdr:colOff>83820</xdr:colOff>
          <xdr:row>0</xdr:row>
          <xdr:rowOff>464820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B0B6424C-99D7-6671-8FC7-18143A3F74A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274320</xdr:colOff>
          <xdr:row>0</xdr:row>
          <xdr:rowOff>60960</xdr:rowOff>
        </xdr:from>
        <xdr:to>
          <xdr:col>5</xdr:col>
          <xdr:colOff>175260</xdr:colOff>
          <xdr:row>0</xdr:row>
          <xdr:rowOff>464820</xdr:rowOff>
        </xdr:to>
        <xdr:sp macro="" textlink="">
          <xdr:nvSpPr>
            <xdr:cNvPr id="7174" name="Button 6" hidden="1">
              <a:extLst>
                <a:ext uri="{63B3BB69-23CF-44E3-9099-C40C66FF867C}">
                  <a14:compatExt spid="_x0000_s7174"/>
                </a:ext>
                <a:ext uri="{FF2B5EF4-FFF2-40B4-BE49-F238E27FC236}">
                  <a16:creationId xmlns:a16="http://schemas.microsoft.com/office/drawing/2014/main" id="{2F0F0FC6-0E47-7DD3-A7D8-814182D3CB6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Abitazione principale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60960</xdr:rowOff>
        </xdr:from>
        <xdr:to>
          <xdr:col>12</xdr:col>
          <xdr:colOff>419100</xdr:colOff>
          <xdr:row>0</xdr:row>
          <xdr:rowOff>464820</xdr:rowOff>
        </xdr:to>
        <xdr:sp macro="" textlink="">
          <xdr:nvSpPr>
            <xdr:cNvPr id="7177" name="Button 9" hidden="1">
              <a:extLst>
                <a:ext uri="{63B3BB69-23CF-44E3-9099-C40C66FF867C}">
                  <a14:compatExt spid="_x0000_s7177"/>
                </a:ext>
                <a:ext uri="{FF2B5EF4-FFF2-40B4-BE49-F238E27FC236}">
                  <a16:creationId xmlns:a16="http://schemas.microsoft.com/office/drawing/2014/main" id="{F9ED3B18-666A-8B96-23A9-24977621E5D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dati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525780</xdr:colOff>
          <xdr:row>0</xdr:row>
          <xdr:rowOff>457200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E383FFE4-97C6-A311-48BF-FC4DE475BC5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685800</xdr:colOff>
          <xdr:row>0</xdr:row>
          <xdr:rowOff>60960</xdr:rowOff>
        </xdr:from>
        <xdr:to>
          <xdr:col>2</xdr:col>
          <xdr:colOff>381000</xdr:colOff>
          <xdr:row>0</xdr:row>
          <xdr:rowOff>457200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F0A7876E-30F4-3694-F24A-547168401F0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Terreni agricoli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320040</xdr:colOff>
          <xdr:row>0</xdr:row>
          <xdr:rowOff>60960</xdr:rowOff>
        </xdr:from>
        <xdr:to>
          <xdr:col>6</xdr:col>
          <xdr:colOff>579120</xdr:colOff>
          <xdr:row>0</xdr:row>
          <xdr:rowOff>457200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AE4522B0-A1D8-AAD9-8300-1FB0594E4D6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Altri fabbricati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60960</xdr:rowOff>
        </xdr:from>
        <xdr:to>
          <xdr:col>8</xdr:col>
          <xdr:colOff>495300</xdr:colOff>
          <xdr:row>0</xdr:row>
          <xdr:rowOff>457200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C1134E9B-0692-E308-F9C3-BD38C12FCB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Aree fabbricabili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693420</xdr:colOff>
          <xdr:row>0</xdr:row>
          <xdr:rowOff>60960</xdr:rowOff>
        </xdr:from>
        <xdr:to>
          <xdr:col>11</xdr:col>
          <xdr:colOff>396240</xdr:colOff>
          <xdr:row>0</xdr:row>
          <xdr:rowOff>457200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F56DEE63-6902-6D23-4A0A-89A13EB7B42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0</xdr:row>
          <xdr:rowOff>60960</xdr:rowOff>
        </xdr:from>
        <xdr:to>
          <xdr:col>4</xdr:col>
          <xdr:colOff>152400</xdr:colOff>
          <xdr:row>0</xdr:row>
          <xdr:rowOff>457200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4F7BB255-480B-33DA-D142-569A022756B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Fabbricati rurali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586740</xdr:colOff>
          <xdr:row>0</xdr:row>
          <xdr:rowOff>60960</xdr:rowOff>
        </xdr:from>
        <xdr:to>
          <xdr:col>15</xdr:col>
          <xdr:colOff>53340</xdr:colOff>
          <xdr:row>0</xdr:row>
          <xdr:rowOff>457200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CF4A8793-1B88-237F-63C5-26D7E193506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dati</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xdr:colOff>
          <xdr:row>4</xdr:row>
          <xdr:rowOff>0</xdr:rowOff>
        </xdr:from>
        <xdr:to>
          <xdr:col>3</xdr:col>
          <xdr:colOff>0</xdr:colOff>
          <xdr:row>5</xdr:row>
          <xdr:rowOff>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BDAB8057-BDC5-0845-BF3A-5C2DA92D486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5</xdr:row>
          <xdr:rowOff>0</xdr:rowOff>
        </xdr:from>
        <xdr:to>
          <xdr:col>3</xdr:col>
          <xdr:colOff>0</xdr:colOff>
          <xdr:row>6</xdr:row>
          <xdr:rowOff>0</xdr:rowOff>
        </xdr:to>
        <xdr:sp macro="" textlink="">
          <xdr:nvSpPr>
            <xdr:cNvPr id="3074" name="Drop Down 2" hidden="1">
              <a:extLst>
                <a:ext uri="{63B3BB69-23CF-44E3-9099-C40C66FF867C}">
                  <a14:compatExt spid="_x0000_s3074"/>
                </a:ext>
                <a:ext uri="{FF2B5EF4-FFF2-40B4-BE49-F238E27FC236}">
                  <a16:creationId xmlns:a16="http://schemas.microsoft.com/office/drawing/2014/main" id="{B31058D3-98B4-5849-7F57-429C2611AEF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6</xdr:row>
          <xdr:rowOff>0</xdr:rowOff>
        </xdr:from>
        <xdr:to>
          <xdr:col>3</xdr:col>
          <xdr:colOff>0</xdr:colOff>
          <xdr:row>7</xdr:row>
          <xdr:rowOff>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967E48C-375D-5BF4-E0EE-CBB1A920871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7</xdr:row>
          <xdr:rowOff>0</xdr:rowOff>
        </xdr:from>
        <xdr:to>
          <xdr:col>3</xdr:col>
          <xdr:colOff>0</xdr:colOff>
          <xdr:row>8</xdr:row>
          <xdr:rowOff>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63FD8B2F-4E51-F388-2868-6F6E1D5BC97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8</xdr:row>
          <xdr:rowOff>0</xdr:rowOff>
        </xdr:from>
        <xdr:to>
          <xdr:col>3</xdr:col>
          <xdr:colOff>0</xdr:colOff>
          <xdr:row>9</xdr:row>
          <xdr:rowOff>0</xdr:rowOff>
        </xdr:to>
        <xdr:sp macro="" textlink="">
          <xdr:nvSpPr>
            <xdr:cNvPr id="3077" name="Drop Down 5" hidden="1">
              <a:extLst>
                <a:ext uri="{63B3BB69-23CF-44E3-9099-C40C66FF867C}">
                  <a14:compatExt spid="_x0000_s3077"/>
                </a:ext>
                <a:ext uri="{FF2B5EF4-FFF2-40B4-BE49-F238E27FC236}">
                  <a16:creationId xmlns:a16="http://schemas.microsoft.com/office/drawing/2014/main" id="{B62A71AA-5A52-83FB-7549-1E2306A55EE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9</xdr:row>
          <xdr:rowOff>0</xdr:rowOff>
        </xdr:from>
        <xdr:to>
          <xdr:col>3</xdr:col>
          <xdr:colOff>0</xdr:colOff>
          <xdr:row>10</xdr:row>
          <xdr:rowOff>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BC701865-B01D-5ACA-8771-20311EEF73E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10</xdr:row>
          <xdr:rowOff>0</xdr:rowOff>
        </xdr:from>
        <xdr:to>
          <xdr:col>3</xdr:col>
          <xdr:colOff>0</xdr:colOff>
          <xdr:row>11</xdr:row>
          <xdr:rowOff>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5F6F9B87-19A6-DD20-97FD-7811B627A05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11</xdr:row>
          <xdr:rowOff>0</xdr:rowOff>
        </xdr:from>
        <xdr:to>
          <xdr:col>3</xdr:col>
          <xdr:colOff>0</xdr:colOff>
          <xdr:row>12</xdr:row>
          <xdr:rowOff>0</xdr:rowOff>
        </xdr:to>
        <xdr:sp macro="" textlink="">
          <xdr:nvSpPr>
            <xdr:cNvPr id="3080" name="Drop Down 8" hidden="1">
              <a:extLst>
                <a:ext uri="{63B3BB69-23CF-44E3-9099-C40C66FF867C}">
                  <a14:compatExt spid="_x0000_s3080"/>
                </a:ext>
                <a:ext uri="{FF2B5EF4-FFF2-40B4-BE49-F238E27FC236}">
                  <a16:creationId xmlns:a16="http://schemas.microsoft.com/office/drawing/2014/main" id="{C0663F5B-203F-19E3-17E3-D7D7B79110E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12</xdr:row>
          <xdr:rowOff>0</xdr:rowOff>
        </xdr:from>
        <xdr:to>
          <xdr:col>3</xdr:col>
          <xdr:colOff>0</xdr:colOff>
          <xdr:row>13</xdr:row>
          <xdr:rowOff>0</xdr:rowOff>
        </xdr:to>
        <xdr:sp macro="" textlink="">
          <xdr:nvSpPr>
            <xdr:cNvPr id="3081" name="Drop Down 9" hidden="1">
              <a:extLst>
                <a:ext uri="{63B3BB69-23CF-44E3-9099-C40C66FF867C}">
                  <a14:compatExt spid="_x0000_s3081"/>
                </a:ext>
                <a:ext uri="{FF2B5EF4-FFF2-40B4-BE49-F238E27FC236}">
                  <a16:creationId xmlns:a16="http://schemas.microsoft.com/office/drawing/2014/main" id="{8E7E3164-CDA3-8DB4-A231-8DE79B10A83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13</xdr:row>
          <xdr:rowOff>0</xdr:rowOff>
        </xdr:from>
        <xdr:to>
          <xdr:col>3</xdr:col>
          <xdr:colOff>0</xdr:colOff>
          <xdr:row>14</xdr:row>
          <xdr:rowOff>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76A339D4-EDFC-81F9-21B6-399A9089762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0</xdr:row>
          <xdr:rowOff>60960</xdr:rowOff>
        </xdr:from>
        <xdr:to>
          <xdr:col>1</xdr:col>
          <xdr:colOff>1112520</xdr:colOff>
          <xdr:row>0</xdr:row>
          <xdr:rowOff>464820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649B16FF-8101-6E83-F077-1241DF9DD3E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1264920</xdr:colOff>
          <xdr:row>0</xdr:row>
          <xdr:rowOff>60960</xdr:rowOff>
        </xdr:from>
        <xdr:to>
          <xdr:col>2</xdr:col>
          <xdr:colOff>990600</xdr:colOff>
          <xdr:row>0</xdr:row>
          <xdr:rowOff>457200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9FCBF34A-F1E5-C5ED-54D7-FB0E9637637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Terreni agricoli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693420</xdr:colOff>
          <xdr:row>0</xdr:row>
          <xdr:rowOff>60960</xdr:rowOff>
        </xdr:from>
        <xdr:to>
          <xdr:col>4</xdr:col>
          <xdr:colOff>883920</xdr:colOff>
          <xdr:row>0</xdr:row>
          <xdr:rowOff>457200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105E1C57-1B4A-2B38-058C-7DEA7A286E1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Abitazione principale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0</xdr:row>
          <xdr:rowOff>60960</xdr:rowOff>
        </xdr:from>
        <xdr:to>
          <xdr:col>6</xdr:col>
          <xdr:colOff>350520</xdr:colOff>
          <xdr:row>0</xdr:row>
          <xdr:rowOff>457200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2B1AC646-7647-2721-68BA-E9E7B2FB5C8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Aree fabbricabili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9</xdr:col>
          <xdr:colOff>403860</xdr:colOff>
          <xdr:row>0</xdr:row>
          <xdr:rowOff>457200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6F925088-C903-7751-044E-99851A46DBC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1150620</xdr:colOff>
          <xdr:row>0</xdr:row>
          <xdr:rowOff>60960</xdr:rowOff>
        </xdr:from>
        <xdr:to>
          <xdr:col>3</xdr:col>
          <xdr:colOff>525780</xdr:colOff>
          <xdr:row>0</xdr:row>
          <xdr:rowOff>457200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8AA73BB6-5B42-44DF-5AA0-C7B57414962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Fabbricati rurali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14</xdr:row>
          <xdr:rowOff>0</xdr:rowOff>
        </xdr:from>
        <xdr:to>
          <xdr:col>3</xdr:col>
          <xdr:colOff>0</xdr:colOff>
          <xdr:row>15</xdr:row>
          <xdr:rowOff>0</xdr:rowOff>
        </xdr:to>
        <xdr:sp macro="" textlink="">
          <xdr:nvSpPr>
            <xdr:cNvPr id="3099" name="Drop Down 27" hidden="1">
              <a:extLst>
                <a:ext uri="{63B3BB69-23CF-44E3-9099-C40C66FF867C}">
                  <a14:compatExt spid="_x0000_s3099"/>
                </a:ext>
                <a:ext uri="{FF2B5EF4-FFF2-40B4-BE49-F238E27FC236}">
                  <a16:creationId xmlns:a16="http://schemas.microsoft.com/office/drawing/2014/main" id="{D3D83D53-51CE-E8B0-1215-D76F19DF75D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15</xdr:row>
          <xdr:rowOff>0</xdr:rowOff>
        </xdr:from>
        <xdr:to>
          <xdr:col>3</xdr:col>
          <xdr:colOff>0</xdr:colOff>
          <xdr:row>16</xdr:row>
          <xdr:rowOff>0</xdr:rowOff>
        </xdr:to>
        <xdr:sp macro="" textlink="">
          <xdr:nvSpPr>
            <xdr:cNvPr id="3101" name="Drop Down 29" hidden="1">
              <a:extLst>
                <a:ext uri="{63B3BB69-23CF-44E3-9099-C40C66FF867C}">
                  <a14:compatExt spid="_x0000_s3101"/>
                </a:ext>
                <a:ext uri="{FF2B5EF4-FFF2-40B4-BE49-F238E27FC236}">
                  <a16:creationId xmlns:a16="http://schemas.microsoft.com/office/drawing/2014/main" id="{FE43F50B-9490-6A86-69B1-2FCF3B0C208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16</xdr:row>
          <xdr:rowOff>0</xdr:rowOff>
        </xdr:from>
        <xdr:to>
          <xdr:col>3</xdr:col>
          <xdr:colOff>0</xdr:colOff>
          <xdr:row>17</xdr:row>
          <xdr:rowOff>0</xdr:rowOff>
        </xdr:to>
        <xdr:sp macro="" textlink="">
          <xdr:nvSpPr>
            <xdr:cNvPr id="3103" name="Drop Down 31" hidden="1">
              <a:extLst>
                <a:ext uri="{63B3BB69-23CF-44E3-9099-C40C66FF867C}">
                  <a14:compatExt spid="_x0000_s3103"/>
                </a:ext>
                <a:ext uri="{FF2B5EF4-FFF2-40B4-BE49-F238E27FC236}">
                  <a16:creationId xmlns:a16="http://schemas.microsoft.com/office/drawing/2014/main" id="{B00930F9-D53F-6E1D-25D8-A8223F20D4C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17</xdr:row>
          <xdr:rowOff>0</xdr:rowOff>
        </xdr:from>
        <xdr:to>
          <xdr:col>3</xdr:col>
          <xdr:colOff>0</xdr:colOff>
          <xdr:row>18</xdr:row>
          <xdr:rowOff>0</xdr:rowOff>
        </xdr:to>
        <xdr:sp macro="" textlink="">
          <xdr:nvSpPr>
            <xdr:cNvPr id="3105" name="Drop Down 33" hidden="1">
              <a:extLst>
                <a:ext uri="{63B3BB69-23CF-44E3-9099-C40C66FF867C}">
                  <a14:compatExt spid="_x0000_s3105"/>
                </a:ext>
                <a:ext uri="{FF2B5EF4-FFF2-40B4-BE49-F238E27FC236}">
                  <a16:creationId xmlns:a16="http://schemas.microsoft.com/office/drawing/2014/main" id="{30EEBB76-99B3-586E-507E-187F4BBBF80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18</xdr:row>
          <xdr:rowOff>0</xdr:rowOff>
        </xdr:from>
        <xdr:to>
          <xdr:col>3</xdr:col>
          <xdr:colOff>0</xdr:colOff>
          <xdr:row>19</xdr:row>
          <xdr:rowOff>0</xdr:rowOff>
        </xdr:to>
        <xdr:sp macro="" textlink="">
          <xdr:nvSpPr>
            <xdr:cNvPr id="3107" name="Drop Down 35" hidden="1">
              <a:extLst>
                <a:ext uri="{63B3BB69-23CF-44E3-9099-C40C66FF867C}">
                  <a14:compatExt spid="_x0000_s3107"/>
                </a:ext>
                <a:ext uri="{FF2B5EF4-FFF2-40B4-BE49-F238E27FC236}">
                  <a16:creationId xmlns:a16="http://schemas.microsoft.com/office/drawing/2014/main" id="{EA3436FB-F047-6055-EF40-EF6CD390853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19</xdr:row>
          <xdr:rowOff>0</xdr:rowOff>
        </xdr:from>
        <xdr:to>
          <xdr:col>3</xdr:col>
          <xdr:colOff>0</xdr:colOff>
          <xdr:row>20</xdr:row>
          <xdr:rowOff>0</xdr:rowOff>
        </xdr:to>
        <xdr:sp macro="" textlink="">
          <xdr:nvSpPr>
            <xdr:cNvPr id="3109" name="Drop Down 37" hidden="1">
              <a:extLst>
                <a:ext uri="{63B3BB69-23CF-44E3-9099-C40C66FF867C}">
                  <a14:compatExt spid="_x0000_s3109"/>
                </a:ext>
                <a:ext uri="{FF2B5EF4-FFF2-40B4-BE49-F238E27FC236}">
                  <a16:creationId xmlns:a16="http://schemas.microsoft.com/office/drawing/2014/main" id="{9312EF63-E502-4636-71FE-43A121A9C0F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20</xdr:row>
          <xdr:rowOff>0</xdr:rowOff>
        </xdr:from>
        <xdr:to>
          <xdr:col>3</xdr:col>
          <xdr:colOff>0</xdr:colOff>
          <xdr:row>21</xdr:row>
          <xdr:rowOff>0</xdr:rowOff>
        </xdr:to>
        <xdr:sp macro="" textlink="">
          <xdr:nvSpPr>
            <xdr:cNvPr id="3111" name="Drop Down 39" hidden="1">
              <a:extLst>
                <a:ext uri="{63B3BB69-23CF-44E3-9099-C40C66FF867C}">
                  <a14:compatExt spid="_x0000_s3111"/>
                </a:ext>
                <a:ext uri="{FF2B5EF4-FFF2-40B4-BE49-F238E27FC236}">
                  <a16:creationId xmlns:a16="http://schemas.microsoft.com/office/drawing/2014/main" id="{96730444-FBAF-4C53-B19D-24E30428F1A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21</xdr:row>
          <xdr:rowOff>0</xdr:rowOff>
        </xdr:from>
        <xdr:to>
          <xdr:col>3</xdr:col>
          <xdr:colOff>0</xdr:colOff>
          <xdr:row>22</xdr:row>
          <xdr:rowOff>0</xdr:rowOff>
        </xdr:to>
        <xdr:sp macro="" textlink="">
          <xdr:nvSpPr>
            <xdr:cNvPr id="3113" name="Drop Down 41" hidden="1">
              <a:extLst>
                <a:ext uri="{63B3BB69-23CF-44E3-9099-C40C66FF867C}">
                  <a14:compatExt spid="_x0000_s3113"/>
                </a:ext>
                <a:ext uri="{FF2B5EF4-FFF2-40B4-BE49-F238E27FC236}">
                  <a16:creationId xmlns:a16="http://schemas.microsoft.com/office/drawing/2014/main" id="{23A8DE47-333A-4ED4-9AC8-76BCEAF3AE3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22</xdr:row>
          <xdr:rowOff>0</xdr:rowOff>
        </xdr:from>
        <xdr:to>
          <xdr:col>3</xdr:col>
          <xdr:colOff>0</xdr:colOff>
          <xdr:row>23</xdr:row>
          <xdr:rowOff>0</xdr:rowOff>
        </xdr:to>
        <xdr:sp macro="" textlink="">
          <xdr:nvSpPr>
            <xdr:cNvPr id="3115" name="Drop Down 43" hidden="1">
              <a:extLst>
                <a:ext uri="{63B3BB69-23CF-44E3-9099-C40C66FF867C}">
                  <a14:compatExt spid="_x0000_s3115"/>
                </a:ext>
                <a:ext uri="{FF2B5EF4-FFF2-40B4-BE49-F238E27FC236}">
                  <a16:creationId xmlns:a16="http://schemas.microsoft.com/office/drawing/2014/main" id="{46749777-CB3D-D472-4FA6-33E600891B9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23</xdr:row>
          <xdr:rowOff>0</xdr:rowOff>
        </xdr:from>
        <xdr:to>
          <xdr:col>3</xdr:col>
          <xdr:colOff>0</xdr:colOff>
          <xdr:row>24</xdr:row>
          <xdr:rowOff>0</xdr:rowOff>
        </xdr:to>
        <xdr:sp macro="" textlink="">
          <xdr:nvSpPr>
            <xdr:cNvPr id="3117" name="Drop Down 45" hidden="1">
              <a:extLst>
                <a:ext uri="{63B3BB69-23CF-44E3-9099-C40C66FF867C}">
                  <a14:compatExt spid="_x0000_s3117"/>
                </a:ext>
                <a:ext uri="{FF2B5EF4-FFF2-40B4-BE49-F238E27FC236}">
                  <a16:creationId xmlns:a16="http://schemas.microsoft.com/office/drawing/2014/main" id="{076195B4-3A24-8970-96C5-E47A83C372D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24</xdr:row>
          <xdr:rowOff>0</xdr:rowOff>
        </xdr:from>
        <xdr:to>
          <xdr:col>3</xdr:col>
          <xdr:colOff>0</xdr:colOff>
          <xdr:row>25</xdr:row>
          <xdr:rowOff>0</xdr:rowOff>
        </xdr:to>
        <xdr:sp macro="" textlink="">
          <xdr:nvSpPr>
            <xdr:cNvPr id="3119" name="Drop Down 47" hidden="1">
              <a:extLst>
                <a:ext uri="{63B3BB69-23CF-44E3-9099-C40C66FF867C}">
                  <a14:compatExt spid="_x0000_s3119"/>
                </a:ext>
                <a:ext uri="{FF2B5EF4-FFF2-40B4-BE49-F238E27FC236}">
                  <a16:creationId xmlns:a16="http://schemas.microsoft.com/office/drawing/2014/main" id="{B862933E-271E-92E8-2E6F-4B9E21F9354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25</xdr:row>
          <xdr:rowOff>0</xdr:rowOff>
        </xdr:from>
        <xdr:to>
          <xdr:col>3</xdr:col>
          <xdr:colOff>0</xdr:colOff>
          <xdr:row>26</xdr:row>
          <xdr:rowOff>0</xdr:rowOff>
        </xdr:to>
        <xdr:sp macro="" textlink="">
          <xdr:nvSpPr>
            <xdr:cNvPr id="3121" name="Drop Down 49" hidden="1">
              <a:extLst>
                <a:ext uri="{63B3BB69-23CF-44E3-9099-C40C66FF867C}">
                  <a14:compatExt spid="_x0000_s3121"/>
                </a:ext>
                <a:ext uri="{FF2B5EF4-FFF2-40B4-BE49-F238E27FC236}">
                  <a16:creationId xmlns:a16="http://schemas.microsoft.com/office/drawing/2014/main" id="{80004A3F-E297-1DDE-436D-D03D9B485CA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26</xdr:row>
          <xdr:rowOff>0</xdr:rowOff>
        </xdr:from>
        <xdr:to>
          <xdr:col>3</xdr:col>
          <xdr:colOff>0</xdr:colOff>
          <xdr:row>27</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ECD7A651-409A-FBCB-81FA-62679C70EFF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27</xdr:row>
          <xdr:rowOff>0</xdr:rowOff>
        </xdr:from>
        <xdr:to>
          <xdr:col>3</xdr:col>
          <xdr:colOff>0</xdr:colOff>
          <xdr:row>28</xdr:row>
          <xdr:rowOff>0</xdr:rowOff>
        </xdr:to>
        <xdr:sp macro="" textlink="">
          <xdr:nvSpPr>
            <xdr:cNvPr id="3125" name="Drop Down 53" hidden="1">
              <a:extLst>
                <a:ext uri="{63B3BB69-23CF-44E3-9099-C40C66FF867C}">
                  <a14:compatExt spid="_x0000_s3125"/>
                </a:ext>
                <a:ext uri="{FF2B5EF4-FFF2-40B4-BE49-F238E27FC236}">
                  <a16:creationId xmlns:a16="http://schemas.microsoft.com/office/drawing/2014/main" id="{C1CD1A36-67DA-BB51-B8B1-144A715515E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28</xdr:row>
          <xdr:rowOff>0</xdr:rowOff>
        </xdr:from>
        <xdr:to>
          <xdr:col>3</xdr:col>
          <xdr:colOff>0</xdr:colOff>
          <xdr:row>29</xdr:row>
          <xdr:rowOff>0</xdr:rowOff>
        </xdr:to>
        <xdr:sp macro="" textlink="">
          <xdr:nvSpPr>
            <xdr:cNvPr id="3127" name="Drop Down 55" hidden="1">
              <a:extLst>
                <a:ext uri="{63B3BB69-23CF-44E3-9099-C40C66FF867C}">
                  <a14:compatExt spid="_x0000_s3127"/>
                </a:ext>
                <a:ext uri="{FF2B5EF4-FFF2-40B4-BE49-F238E27FC236}">
                  <a16:creationId xmlns:a16="http://schemas.microsoft.com/office/drawing/2014/main" id="{B420A0CE-1BD9-BA5A-4E9F-86DED2B552A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5</xdr:row>
          <xdr:rowOff>0</xdr:rowOff>
        </xdr:from>
        <xdr:to>
          <xdr:col>3</xdr:col>
          <xdr:colOff>0</xdr:colOff>
          <xdr:row>6</xdr:row>
          <xdr:rowOff>0</xdr:rowOff>
        </xdr:to>
        <xdr:sp macro="" textlink="">
          <xdr:nvSpPr>
            <xdr:cNvPr id="3129" name="Drop Down 57" hidden="1">
              <a:extLst>
                <a:ext uri="{63B3BB69-23CF-44E3-9099-C40C66FF867C}">
                  <a14:compatExt spid="_x0000_s3129"/>
                </a:ext>
                <a:ext uri="{FF2B5EF4-FFF2-40B4-BE49-F238E27FC236}">
                  <a16:creationId xmlns:a16="http://schemas.microsoft.com/office/drawing/2014/main" id="{ED2DF76D-D12B-C0F4-6957-536885D89C1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6</xdr:row>
          <xdr:rowOff>0</xdr:rowOff>
        </xdr:from>
        <xdr:to>
          <xdr:col>3</xdr:col>
          <xdr:colOff>0</xdr:colOff>
          <xdr:row>7</xdr:row>
          <xdr:rowOff>0</xdr:rowOff>
        </xdr:to>
        <xdr:sp macro="" textlink="">
          <xdr:nvSpPr>
            <xdr:cNvPr id="3131" name="Drop Down 59" hidden="1">
              <a:extLst>
                <a:ext uri="{63B3BB69-23CF-44E3-9099-C40C66FF867C}">
                  <a14:compatExt spid="_x0000_s3131"/>
                </a:ext>
                <a:ext uri="{FF2B5EF4-FFF2-40B4-BE49-F238E27FC236}">
                  <a16:creationId xmlns:a16="http://schemas.microsoft.com/office/drawing/2014/main" id="{B9221463-DDE4-0148-49CD-45DE45848F6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7</xdr:row>
          <xdr:rowOff>0</xdr:rowOff>
        </xdr:from>
        <xdr:to>
          <xdr:col>3</xdr:col>
          <xdr:colOff>0</xdr:colOff>
          <xdr:row>8</xdr:row>
          <xdr:rowOff>0</xdr:rowOff>
        </xdr:to>
        <xdr:sp macro="" textlink="">
          <xdr:nvSpPr>
            <xdr:cNvPr id="3133" name="Drop Down 61" hidden="1">
              <a:extLst>
                <a:ext uri="{63B3BB69-23CF-44E3-9099-C40C66FF867C}">
                  <a14:compatExt spid="_x0000_s3133"/>
                </a:ext>
                <a:ext uri="{FF2B5EF4-FFF2-40B4-BE49-F238E27FC236}">
                  <a16:creationId xmlns:a16="http://schemas.microsoft.com/office/drawing/2014/main" id="{2C4A853E-B696-0EAE-F0C4-DEA8A6482A0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8</xdr:row>
          <xdr:rowOff>0</xdr:rowOff>
        </xdr:from>
        <xdr:to>
          <xdr:col>3</xdr:col>
          <xdr:colOff>0</xdr:colOff>
          <xdr:row>9</xdr:row>
          <xdr:rowOff>0</xdr:rowOff>
        </xdr:to>
        <xdr:sp macro="" textlink="">
          <xdr:nvSpPr>
            <xdr:cNvPr id="3135" name="Drop Down 63" hidden="1">
              <a:extLst>
                <a:ext uri="{63B3BB69-23CF-44E3-9099-C40C66FF867C}">
                  <a14:compatExt spid="_x0000_s3135"/>
                </a:ext>
                <a:ext uri="{FF2B5EF4-FFF2-40B4-BE49-F238E27FC236}">
                  <a16:creationId xmlns:a16="http://schemas.microsoft.com/office/drawing/2014/main" id="{0B4CB485-1FA8-F580-FA9C-E9A7034DE91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9</xdr:row>
          <xdr:rowOff>0</xdr:rowOff>
        </xdr:from>
        <xdr:to>
          <xdr:col>3</xdr:col>
          <xdr:colOff>0</xdr:colOff>
          <xdr:row>10</xdr:row>
          <xdr:rowOff>0</xdr:rowOff>
        </xdr:to>
        <xdr:sp macro="" textlink="">
          <xdr:nvSpPr>
            <xdr:cNvPr id="3137" name="Drop Down 65" hidden="1">
              <a:extLst>
                <a:ext uri="{63B3BB69-23CF-44E3-9099-C40C66FF867C}">
                  <a14:compatExt spid="_x0000_s3137"/>
                </a:ext>
                <a:ext uri="{FF2B5EF4-FFF2-40B4-BE49-F238E27FC236}">
                  <a16:creationId xmlns:a16="http://schemas.microsoft.com/office/drawing/2014/main" id="{5AA8E8A0-360E-77F9-F0A8-6A37A991FEA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10</xdr:row>
          <xdr:rowOff>0</xdr:rowOff>
        </xdr:from>
        <xdr:to>
          <xdr:col>3</xdr:col>
          <xdr:colOff>0</xdr:colOff>
          <xdr:row>11</xdr:row>
          <xdr:rowOff>0</xdr:rowOff>
        </xdr:to>
        <xdr:sp macro="" textlink="">
          <xdr:nvSpPr>
            <xdr:cNvPr id="3139" name="Drop Down 67" hidden="1">
              <a:extLst>
                <a:ext uri="{63B3BB69-23CF-44E3-9099-C40C66FF867C}">
                  <a14:compatExt spid="_x0000_s3139"/>
                </a:ext>
                <a:ext uri="{FF2B5EF4-FFF2-40B4-BE49-F238E27FC236}">
                  <a16:creationId xmlns:a16="http://schemas.microsoft.com/office/drawing/2014/main" id="{0FE5E7C1-5636-8F0A-EB13-98E48893E6A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11</xdr:row>
          <xdr:rowOff>0</xdr:rowOff>
        </xdr:from>
        <xdr:to>
          <xdr:col>3</xdr:col>
          <xdr:colOff>0</xdr:colOff>
          <xdr:row>12</xdr:row>
          <xdr:rowOff>0</xdr:rowOff>
        </xdr:to>
        <xdr:sp macro="" textlink="">
          <xdr:nvSpPr>
            <xdr:cNvPr id="3141" name="Drop Down 69" hidden="1">
              <a:extLst>
                <a:ext uri="{63B3BB69-23CF-44E3-9099-C40C66FF867C}">
                  <a14:compatExt spid="_x0000_s3141"/>
                </a:ext>
                <a:ext uri="{FF2B5EF4-FFF2-40B4-BE49-F238E27FC236}">
                  <a16:creationId xmlns:a16="http://schemas.microsoft.com/office/drawing/2014/main" id="{BA7FEF10-D7FE-B799-DC1C-3A8046FD4DC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12</xdr:row>
          <xdr:rowOff>0</xdr:rowOff>
        </xdr:from>
        <xdr:to>
          <xdr:col>3</xdr:col>
          <xdr:colOff>0</xdr:colOff>
          <xdr:row>13</xdr:row>
          <xdr:rowOff>0</xdr:rowOff>
        </xdr:to>
        <xdr:sp macro="" textlink="">
          <xdr:nvSpPr>
            <xdr:cNvPr id="3143" name="Drop Down 71" hidden="1">
              <a:extLst>
                <a:ext uri="{63B3BB69-23CF-44E3-9099-C40C66FF867C}">
                  <a14:compatExt spid="_x0000_s3143"/>
                </a:ext>
                <a:ext uri="{FF2B5EF4-FFF2-40B4-BE49-F238E27FC236}">
                  <a16:creationId xmlns:a16="http://schemas.microsoft.com/office/drawing/2014/main" id="{19809D56-2444-9725-55AB-5E2C59CA268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13</xdr:row>
          <xdr:rowOff>0</xdr:rowOff>
        </xdr:from>
        <xdr:to>
          <xdr:col>3</xdr:col>
          <xdr:colOff>0</xdr:colOff>
          <xdr:row>14</xdr:row>
          <xdr:rowOff>0</xdr:rowOff>
        </xdr:to>
        <xdr:sp macro="" textlink="">
          <xdr:nvSpPr>
            <xdr:cNvPr id="3145" name="Drop Down 73" hidden="1">
              <a:extLst>
                <a:ext uri="{63B3BB69-23CF-44E3-9099-C40C66FF867C}">
                  <a14:compatExt spid="_x0000_s3145"/>
                </a:ext>
                <a:ext uri="{FF2B5EF4-FFF2-40B4-BE49-F238E27FC236}">
                  <a16:creationId xmlns:a16="http://schemas.microsoft.com/office/drawing/2014/main" id="{256FFDAE-F747-60DB-94AA-947533D91F3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14</xdr:row>
          <xdr:rowOff>0</xdr:rowOff>
        </xdr:from>
        <xdr:to>
          <xdr:col>3</xdr:col>
          <xdr:colOff>0</xdr:colOff>
          <xdr:row>15</xdr:row>
          <xdr:rowOff>0</xdr:rowOff>
        </xdr:to>
        <xdr:sp macro="" textlink="">
          <xdr:nvSpPr>
            <xdr:cNvPr id="3147" name="Drop Down 75" hidden="1">
              <a:extLst>
                <a:ext uri="{63B3BB69-23CF-44E3-9099-C40C66FF867C}">
                  <a14:compatExt spid="_x0000_s3147"/>
                </a:ext>
                <a:ext uri="{FF2B5EF4-FFF2-40B4-BE49-F238E27FC236}">
                  <a16:creationId xmlns:a16="http://schemas.microsoft.com/office/drawing/2014/main" id="{CD0ACE58-1036-9B02-BEE1-27F4257C1DD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15</xdr:row>
          <xdr:rowOff>0</xdr:rowOff>
        </xdr:from>
        <xdr:to>
          <xdr:col>3</xdr:col>
          <xdr:colOff>0</xdr:colOff>
          <xdr:row>16</xdr:row>
          <xdr:rowOff>0</xdr:rowOff>
        </xdr:to>
        <xdr:sp macro="" textlink="">
          <xdr:nvSpPr>
            <xdr:cNvPr id="3149" name="Drop Down 77" hidden="1">
              <a:extLst>
                <a:ext uri="{63B3BB69-23CF-44E3-9099-C40C66FF867C}">
                  <a14:compatExt spid="_x0000_s3149"/>
                </a:ext>
                <a:ext uri="{FF2B5EF4-FFF2-40B4-BE49-F238E27FC236}">
                  <a16:creationId xmlns:a16="http://schemas.microsoft.com/office/drawing/2014/main" id="{F7EF6319-F3B0-059E-E607-07308DE746D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16</xdr:row>
          <xdr:rowOff>0</xdr:rowOff>
        </xdr:from>
        <xdr:to>
          <xdr:col>3</xdr:col>
          <xdr:colOff>0</xdr:colOff>
          <xdr:row>17</xdr:row>
          <xdr:rowOff>0</xdr:rowOff>
        </xdr:to>
        <xdr:sp macro="" textlink="">
          <xdr:nvSpPr>
            <xdr:cNvPr id="3151" name="Drop Down 79" hidden="1">
              <a:extLst>
                <a:ext uri="{63B3BB69-23CF-44E3-9099-C40C66FF867C}">
                  <a14:compatExt spid="_x0000_s3151"/>
                </a:ext>
                <a:ext uri="{FF2B5EF4-FFF2-40B4-BE49-F238E27FC236}">
                  <a16:creationId xmlns:a16="http://schemas.microsoft.com/office/drawing/2014/main" id="{3A4DE796-E8E6-B9D6-1F16-1DB7C628D0F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17</xdr:row>
          <xdr:rowOff>0</xdr:rowOff>
        </xdr:from>
        <xdr:to>
          <xdr:col>3</xdr:col>
          <xdr:colOff>0</xdr:colOff>
          <xdr:row>18</xdr:row>
          <xdr:rowOff>0</xdr:rowOff>
        </xdr:to>
        <xdr:sp macro="" textlink="">
          <xdr:nvSpPr>
            <xdr:cNvPr id="3153" name="Drop Down 81" hidden="1">
              <a:extLst>
                <a:ext uri="{63B3BB69-23CF-44E3-9099-C40C66FF867C}">
                  <a14:compatExt spid="_x0000_s3153"/>
                </a:ext>
                <a:ext uri="{FF2B5EF4-FFF2-40B4-BE49-F238E27FC236}">
                  <a16:creationId xmlns:a16="http://schemas.microsoft.com/office/drawing/2014/main" id="{D043331F-0081-B09F-1717-69252AB967C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18</xdr:row>
          <xdr:rowOff>0</xdr:rowOff>
        </xdr:from>
        <xdr:to>
          <xdr:col>3</xdr:col>
          <xdr:colOff>0</xdr:colOff>
          <xdr:row>19</xdr:row>
          <xdr:rowOff>0</xdr:rowOff>
        </xdr:to>
        <xdr:sp macro="" textlink="">
          <xdr:nvSpPr>
            <xdr:cNvPr id="3155" name="Drop Down 83" hidden="1">
              <a:extLst>
                <a:ext uri="{63B3BB69-23CF-44E3-9099-C40C66FF867C}">
                  <a14:compatExt spid="_x0000_s3155"/>
                </a:ext>
                <a:ext uri="{FF2B5EF4-FFF2-40B4-BE49-F238E27FC236}">
                  <a16:creationId xmlns:a16="http://schemas.microsoft.com/office/drawing/2014/main" id="{5C2C55AE-EF8C-D72B-67F3-582AC75AA77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19</xdr:row>
          <xdr:rowOff>0</xdr:rowOff>
        </xdr:from>
        <xdr:to>
          <xdr:col>3</xdr:col>
          <xdr:colOff>0</xdr:colOff>
          <xdr:row>20</xdr:row>
          <xdr:rowOff>0</xdr:rowOff>
        </xdr:to>
        <xdr:sp macro="" textlink="">
          <xdr:nvSpPr>
            <xdr:cNvPr id="3157" name="Drop Down 85" hidden="1">
              <a:extLst>
                <a:ext uri="{63B3BB69-23CF-44E3-9099-C40C66FF867C}">
                  <a14:compatExt spid="_x0000_s3157"/>
                </a:ext>
                <a:ext uri="{FF2B5EF4-FFF2-40B4-BE49-F238E27FC236}">
                  <a16:creationId xmlns:a16="http://schemas.microsoft.com/office/drawing/2014/main" id="{54DDFF3E-CE13-1423-553A-1923DB218FD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20</xdr:row>
          <xdr:rowOff>0</xdr:rowOff>
        </xdr:from>
        <xdr:to>
          <xdr:col>3</xdr:col>
          <xdr:colOff>0</xdr:colOff>
          <xdr:row>21</xdr:row>
          <xdr:rowOff>0</xdr:rowOff>
        </xdr:to>
        <xdr:sp macro="" textlink="">
          <xdr:nvSpPr>
            <xdr:cNvPr id="3159" name="Drop Down 87" hidden="1">
              <a:extLst>
                <a:ext uri="{63B3BB69-23CF-44E3-9099-C40C66FF867C}">
                  <a14:compatExt spid="_x0000_s3159"/>
                </a:ext>
                <a:ext uri="{FF2B5EF4-FFF2-40B4-BE49-F238E27FC236}">
                  <a16:creationId xmlns:a16="http://schemas.microsoft.com/office/drawing/2014/main" id="{EB8477DC-CE2E-3B7E-5C49-DD0FF5963DD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21</xdr:row>
          <xdr:rowOff>0</xdr:rowOff>
        </xdr:from>
        <xdr:to>
          <xdr:col>3</xdr:col>
          <xdr:colOff>0</xdr:colOff>
          <xdr:row>22</xdr:row>
          <xdr:rowOff>0</xdr:rowOff>
        </xdr:to>
        <xdr:sp macro="" textlink="">
          <xdr:nvSpPr>
            <xdr:cNvPr id="3161" name="Drop Down 89" hidden="1">
              <a:extLst>
                <a:ext uri="{63B3BB69-23CF-44E3-9099-C40C66FF867C}">
                  <a14:compatExt spid="_x0000_s3161"/>
                </a:ext>
                <a:ext uri="{FF2B5EF4-FFF2-40B4-BE49-F238E27FC236}">
                  <a16:creationId xmlns:a16="http://schemas.microsoft.com/office/drawing/2014/main" id="{3C8C9559-7406-D232-7AF9-0759C7602DA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22</xdr:row>
          <xdr:rowOff>0</xdr:rowOff>
        </xdr:from>
        <xdr:to>
          <xdr:col>3</xdr:col>
          <xdr:colOff>0</xdr:colOff>
          <xdr:row>23</xdr:row>
          <xdr:rowOff>0</xdr:rowOff>
        </xdr:to>
        <xdr:sp macro="" textlink="">
          <xdr:nvSpPr>
            <xdr:cNvPr id="3163" name="Drop Down 91" hidden="1">
              <a:extLst>
                <a:ext uri="{63B3BB69-23CF-44E3-9099-C40C66FF867C}">
                  <a14:compatExt spid="_x0000_s3163"/>
                </a:ext>
                <a:ext uri="{FF2B5EF4-FFF2-40B4-BE49-F238E27FC236}">
                  <a16:creationId xmlns:a16="http://schemas.microsoft.com/office/drawing/2014/main" id="{3CDC0D59-F800-890A-616F-D4038A09101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23</xdr:row>
          <xdr:rowOff>0</xdr:rowOff>
        </xdr:from>
        <xdr:to>
          <xdr:col>3</xdr:col>
          <xdr:colOff>0</xdr:colOff>
          <xdr:row>24</xdr:row>
          <xdr:rowOff>0</xdr:rowOff>
        </xdr:to>
        <xdr:sp macro="" textlink="">
          <xdr:nvSpPr>
            <xdr:cNvPr id="3165" name="Drop Down 93" hidden="1">
              <a:extLst>
                <a:ext uri="{63B3BB69-23CF-44E3-9099-C40C66FF867C}">
                  <a14:compatExt spid="_x0000_s3165"/>
                </a:ext>
                <a:ext uri="{FF2B5EF4-FFF2-40B4-BE49-F238E27FC236}">
                  <a16:creationId xmlns:a16="http://schemas.microsoft.com/office/drawing/2014/main" id="{10B605EF-3FDB-0316-6F9A-D7562FA1A4F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24</xdr:row>
          <xdr:rowOff>0</xdr:rowOff>
        </xdr:from>
        <xdr:to>
          <xdr:col>3</xdr:col>
          <xdr:colOff>0</xdr:colOff>
          <xdr:row>25</xdr:row>
          <xdr:rowOff>0</xdr:rowOff>
        </xdr:to>
        <xdr:sp macro="" textlink="">
          <xdr:nvSpPr>
            <xdr:cNvPr id="3167" name="Drop Down 95" hidden="1">
              <a:extLst>
                <a:ext uri="{63B3BB69-23CF-44E3-9099-C40C66FF867C}">
                  <a14:compatExt spid="_x0000_s3167"/>
                </a:ext>
                <a:ext uri="{FF2B5EF4-FFF2-40B4-BE49-F238E27FC236}">
                  <a16:creationId xmlns:a16="http://schemas.microsoft.com/office/drawing/2014/main" id="{0954D096-8060-DA15-7D31-8C37AB1D847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25</xdr:row>
          <xdr:rowOff>0</xdr:rowOff>
        </xdr:from>
        <xdr:to>
          <xdr:col>3</xdr:col>
          <xdr:colOff>0</xdr:colOff>
          <xdr:row>26</xdr:row>
          <xdr:rowOff>0</xdr:rowOff>
        </xdr:to>
        <xdr:sp macro="" textlink="">
          <xdr:nvSpPr>
            <xdr:cNvPr id="3169" name="Drop Down 97" hidden="1">
              <a:extLst>
                <a:ext uri="{63B3BB69-23CF-44E3-9099-C40C66FF867C}">
                  <a14:compatExt spid="_x0000_s3169"/>
                </a:ext>
                <a:ext uri="{FF2B5EF4-FFF2-40B4-BE49-F238E27FC236}">
                  <a16:creationId xmlns:a16="http://schemas.microsoft.com/office/drawing/2014/main" id="{A8936319-EFD3-DE46-9781-BE20C1D3889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26</xdr:row>
          <xdr:rowOff>0</xdr:rowOff>
        </xdr:from>
        <xdr:to>
          <xdr:col>3</xdr:col>
          <xdr:colOff>0</xdr:colOff>
          <xdr:row>27</xdr:row>
          <xdr:rowOff>0</xdr:rowOff>
        </xdr:to>
        <xdr:sp macro="" textlink="">
          <xdr:nvSpPr>
            <xdr:cNvPr id="3171" name="Drop Down 99" hidden="1">
              <a:extLst>
                <a:ext uri="{63B3BB69-23CF-44E3-9099-C40C66FF867C}">
                  <a14:compatExt spid="_x0000_s3171"/>
                </a:ext>
                <a:ext uri="{FF2B5EF4-FFF2-40B4-BE49-F238E27FC236}">
                  <a16:creationId xmlns:a16="http://schemas.microsoft.com/office/drawing/2014/main" id="{DB931A81-22E9-E5A8-11F2-0A1C4B6CB6A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27</xdr:row>
          <xdr:rowOff>0</xdr:rowOff>
        </xdr:from>
        <xdr:to>
          <xdr:col>3</xdr:col>
          <xdr:colOff>0</xdr:colOff>
          <xdr:row>28</xdr:row>
          <xdr:rowOff>0</xdr:rowOff>
        </xdr:to>
        <xdr:sp macro="" textlink="">
          <xdr:nvSpPr>
            <xdr:cNvPr id="3173" name="Drop Down 101" hidden="1">
              <a:extLst>
                <a:ext uri="{63B3BB69-23CF-44E3-9099-C40C66FF867C}">
                  <a14:compatExt spid="_x0000_s3173"/>
                </a:ext>
                <a:ext uri="{FF2B5EF4-FFF2-40B4-BE49-F238E27FC236}">
                  <a16:creationId xmlns:a16="http://schemas.microsoft.com/office/drawing/2014/main" id="{A31C80C8-010F-ABAA-ACE3-AB8B996FD87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28</xdr:row>
          <xdr:rowOff>0</xdr:rowOff>
        </xdr:from>
        <xdr:to>
          <xdr:col>3</xdr:col>
          <xdr:colOff>0</xdr:colOff>
          <xdr:row>29</xdr:row>
          <xdr:rowOff>0</xdr:rowOff>
        </xdr:to>
        <xdr:sp macro="" textlink="">
          <xdr:nvSpPr>
            <xdr:cNvPr id="3175" name="Drop Down 103" hidden="1">
              <a:extLst>
                <a:ext uri="{63B3BB69-23CF-44E3-9099-C40C66FF867C}">
                  <a14:compatExt spid="_x0000_s3175"/>
                </a:ext>
                <a:ext uri="{FF2B5EF4-FFF2-40B4-BE49-F238E27FC236}">
                  <a16:creationId xmlns:a16="http://schemas.microsoft.com/office/drawing/2014/main" id="{0CB5CD6C-4CDE-3C52-B79A-ED98F3AF3B1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8</xdr:row>
          <xdr:rowOff>15240</xdr:rowOff>
        </xdr:from>
        <xdr:to>
          <xdr:col>4</xdr:col>
          <xdr:colOff>15240</xdr:colOff>
          <xdr:row>9</xdr:row>
          <xdr:rowOff>0</xdr:rowOff>
        </xdr:to>
        <xdr:sp macro="" textlink="">
          <xdr:nvSpPr>
            <xdr:cNvPr id="3299" name="Drop Down 227" hidden="1">
              <a:extLst>
                <a:ext uri="{63B3BB69-23CF-44E3-9099-C40C66FF867C}">
                  <a14:compatExt spid="_x0000_s3299"/>
                </a:ext>
                <a:ext uri="{FF2B5EF4-FFF2-40B4-BE49-F238E27FC236}">
                  <a16:creationId xmlns:a16="http://schemas.microsoft.com/office/drawing/2014/main" id="{DCD53CEE-7FE3-04A5-F7A4-442B0B12CA8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9</xdr:row>
          <xdr:rowOff>15240</xdr:rowOff>
        </xdr:from>
        <xdr:to>
          <xdr:col>4</xdr:col>
          <xdr:colOff>15240</xdr:colOff>
          <xdr:row>10</xdr:row>
          <xdr:rowOff>0</xdr:rowOff>
        </xdr:to>
        <xdr:sp macro="" textlink="">
          <xdr:nvSpPr>
            <xdr:cNvPr id="3303" name="Drop Down 231" hidden="1">
              <a:extLst>
                <a:ext uri="{63B3BB69-23CF-44E3-9099-C40C66FF867C}">
                  <a14:compatExt spid="_x0000_s3303"/>
                </a:ext>
                <a:ext uri="{FF2B5EF4-FFF2-40B4-BE49-F238E27FC236}">
                  <a16:creationId xmlns:a16="http://schemas.microsoft.com/office/drawing/2014/main" id="{EC2A6955-275B-5051-0269-BA6D5F09B2C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10</xdr:row>
          <xdr:rowOff>15240</xdr:rowOff>
        </xdr:from>
        <xdr:to>
          <xdr:col>4</xdr:col>
          <xdr:colOff>15240</xdr:colOff>
          <xdr:row>11</xdr:row>
          <xdr:rowOff>0</xdr:rowOff>
        </xdr:to>
        <xdr:sp macro="" textlink="">
          <xdr:nvSpPr>
            <xdr:cNvPr id="3307" name="Drop Down 235" hidden="1">
              <a:extLst>
                <a:ext uri="{63B3BB69-23CF-44E3-9099-C40C66FF867C}">
                  <a14:compatExt spid="_x0000_s3307"/>
                </a:ext>
                <a:ext uri="{FF2B5EF4-FFF2-40B4-BE49-F238E27FC236}">
                  <a16:creationId xmlns:a16="http://schemas.microsoft.com/office/drawing/2014/main" id="{87DC5F6E-12A1-D3DC-12D5-97A62EB4BC0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11</xdr:row>
          <xdr:rowOff>15240</xdr:rowOff>
        </xdr:from>
        <xdr:to>
          <xdr:col>4</xdr:col>
          <xdr:colOff>15240</xdr:colOff>
          <xdr:row>12</xdr:row>
          <xdr:rowOff>0</xdr:rowOff>
        </xdr:to>
        <xdr:sp macro="" textlink="">
          <xdr:nvSpPr>
            <xdr:cNvPr id="3311" name="Drop Down 239" hidden="1">
              <a:extLst>
                <a:ext uri="{63B3BB69-23CF-44E3-9099-C40C66FF867C}">
                  <a14:compatExt spid="_x0000_s3311"/>
                </a:ext>
                <a:ext uri="{FF2B5EF4-FFF2-40B4-BE49-F238E27FC236}">
                  <a16:creationId xmlns:a16="http://schemas.microsoft.com/office/drawing/2014/main" id="{02388A26-FAA4-AD32-F526-E21FA4CEE86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12</xdr:row>
          <xdr:rowOff>15240</xdr:rowOff>
        </xdr:from>
        <xdr:to>
          <xdr:col>4</xdr:col>
          <xdr:colOff>15240</xdr:colOff>
          <xdr:row>13</xdr:row>
          <xdr:rowOff>0</xdr:rowOff>
        </xdr:to>
        <xdr:sp macro="" textlink="">
          <xdr:nvSpPr>
            <xdr:cNvPr id="3315" name="Drop Down 243" hidden="1">
              <a:extLst>
                <a:ext uri="{63B3BB69-23CF-44E3-9099-C40C66FF867C}">
                  <a14:compatExt spid="_x0000_s3315"/>
                </a:ext>
                <a:ext uri="{FF2B5EF4-FFF2-40B4-BE49-F238E27FC236}">
                  <a16:creationId xmlns:a16="http://schemas.microsoft.com/office/drawing/2014/main" id="{5E671B96-2307-3004-9DFD-7DAA3A149CA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13</xdr:row>
          <xdr:rowOff>15240</xdr:rowOff>
        </xdr:from>
        <xdr:to>
          <xdr:col>4</xdr:col>
          <xdr:colOff>15240</xdr:colOff>
          <xdr:row>14</xdr:row>
          <xdr:rowOff>0</xdr:rowOff>
        </xdr:to>
        <xdr:sp macro="" textlink="">
          <xdr:nvSpPr>
            <xdr:cNvPr id="3319" name="Drop Down 247" hidden="1">
              <a:extLst>
                <a:ext uri="{63B3BB69-23CF-44E3-9099-C40C66FF867C}">
                  <a14:compatExt spid="_x0000_s3319"/>
                </a:ext>
                <a:ext uri="{FF2B5EF4-FFF2-40B4-BE49-F238E27FC236}">
                  <a16:creationId xmlns:a16="http://schemas.microsoft.com/office/drawing/2014/main" id="{48AFB671-313D-717A-7263-5B4D48332CF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14</xdr:row>
          <xdr:rowOff>15240</xdr:rowOff>
        </xdr:from>
        <xdr:to>
          <xdr:col>4</xdr:col>
          <xdr:colOff>15240</xdr:colOff>
          <xdr:row>15</xdr:row>
          <xdr:rowOff>0</xdr:rowOff>
        </xdr:to>
        <xdr:sp macro="" textlink="">
          <xdr:nvSpPr>
            <xdr:cNvPr id="3323" name="Drop Down 251" hidden="1">
              <a:extLst>
                <a:ext uri="{63B3BB69-23CF-44E3-9099-C40C66FF867C}">
                  <a14:compatExt spid="_x0000_s3323"/>
                </a:ext>
                <a:ext uri="{FF2B5EF4-FFF2-40B4-BE49-F238E27FC236}">
                  <a16:creationId xmlns:a16="http://schemas.microsoft.com/office/drawing/2014/main" id="{FB05C3AE-DDC4-E698-0988-399F489777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15</xdr:row>
          <xdr:rowOff>15240</xdr:rowOff>
        </xdr:from>
        <xdr:to>
          <xdr:col>4</xdr:col>
          <xdr:colOff>15240</xdr:colOff>
          <xdr:row>16</xdr:row>
          <xdr:rowOff>0</xdr:rowOff>
        </xdr:to>
        <xdr:sp macro="" textlink="">
          <xdr:nvSpPr>
            <xdr:cNvPr id="3327" name="Drop Down 255" hidden="1">
              <a:extLst>
                <a:ext uri="{63B3BB69-23CF-44E3-9099-C40C66FF867C}">
                  <a14:compatExt spid="_x0000_s3327"/>
                </a:ext>
                <a:ext uri="{FF2B5EF4-FFF2-40B4-BE49-F238E27FC236}">
                  <a16:creationId xmlns:a16="http://schemas.microsoft.com/office/drawing/2014/main" id="{73C59F02-686A-9EF5-3401-9E20C7C3F4F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16</xdr:row>
          <xdr:rowOff>15240</xdr:rowOff>
        </xdr:from>
        <xdr:to>
          <xdr:col>4</xdr:col>
          <xdr:colOff>15240</xdr:colOff>
          <xdr:row>17</xdr:row>
          <xdr:rowOff>0</xdr:rowOff>
        </xdr:to>
        <xdr:sp macro="" textlink="">
          <xdr:nvSpPr>
            <xdr:cNvPr id="3331" name="Drop Down 259" hidden="1">
              <a:extLst>
                <a:ext uri="{63B3BB69-23CF-44E3-9099-C40C66FF867C}">
                  <a14:compatExt spid="_x0000_s3331"/>
                </a:ext>
                <a:ext uri="{FF2B5EF4-FFF2-40B4-BE49-F238E27FC236}">
                  <a16:creationId xmlns:a16="http://schemas.microsoft.com/office/drawing/2014/main" id="{D890B3B6-813E-FC01-F37C-F510BA7B3AC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17</xdr:row>
          <xdr:rowOff>15240</xdr:rowOff>
        </xdr:from>
        <xdr:to>
          <xdr:col>4</xdr:col>
          <xdr:colOff>15240</xdr:colOff>
          <xdr:row>18</xdr:row>
          <xdr:rowOff>0</xdr:rowOff>
        </xdr:to>
        <xdr:sp macro="" textlink="">
          <xdr:nvSpPr>
            <xdr:cNvPr id="3335" name="Drop Down 263" hidden="1">
              <a:extLst>
                <a:ext uri="{63B3BB69-23CF-44E3-9099-C40C66FF867C}">
                  <a14:compatExt spid="_x0000_s3335"/>
                </a:ext>
                <a:ext uri="{FF2B5EF4-FFF2-40B4-BE49-F238E27FC236}">
                  <a16:creationId xmlns:a16="http://schemas.microsoft.com/office/drawing/2014/main" id="{DD71C3E4-2D2A-2C08-9537-19B2ECFA6D9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18</xdr:row>
          <xdr:rowOff>15240</xdr:rowOff>
        </xdr:from>
        <xdr:to>
          <xdr:col>4</xdr:col>
          <xdr:colOff>15240</xdr:colOff>
          <xdr:row>19</xdr:row>
          <xdr:rowOff>0</xdr:rowOff>
        </xdr:to>
        <xdr:sp macro="" textlink="">
          <xdr:nvSpPr>
            <xdr:cNvPr id="3339" name="Drop Down 267" hidden="1">
              <a:extLst>
                <a:ext uri="{63B3BB69-23CF-44E3-9099-C40C66FF867C}">
                  <a14:compatExt spid="_x0000_s3339"/>
                </a:ext>
                <a:ext uri="{FF2B5EF4-FFF2-40B4-BE49-F238E27FC236}">
                  <a16:creationId xmlns:a16="http://schemas.microsoft.com/office/drawing/2014/main" id="{BC1A215A-D360-B5E7-B758-C6D42B77A2D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19</xdr:row>
          <xdr:rowOff>15240</xdr:rowOff>
        </xdr:from>
        <xdr:to>
          <xdr:col>4</xdr:col>
          <xdr:colOff>15240</xdr:colOff>
          <xdr:row>20</xdr:row>
          <xdr:rowOff>0</xdr:rowOff>
        </xdr:to>
        <xdr:sp macro="" textlink="">
          <xdr:nvSpPr>
            <xdr:cNvPr id="3343" name="Drop Down 271" hidden="1">
              <a:extLst>
                <a:ext uri="{63B3BB69-23CF-44E3-9099-C40C66FF867C}">
                  <a14:compatExt spid="_x0000_s3343"/>
                </a:ext>
                <a:ext uri="{FF2B5EF4-FFF2-40B4-BE49-F238E27FC236}">
                  <a16:creationId xmlns:a16="http://schemas.microsoft.com/office/drawing/2014/main" id="{2F9CF686-BE57-C4C4-CC39-EC944BE2242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20</xdr:row>
          <xdr:rowOff>15240</xdr:rowOff>
        </xdr:from>
        <xdr:to>
          <xdr:col>4</xdr:col>
          <xdr:colOff>15240</xdr:colOff>
          <xdr:row>21</xdr:row>
          <xdr:rowOff>0</xdr:rowOff>
        </xdr:to>
        <xdr:sp macro="" textlink="">
          <xdr:nvSpPr>
            <xdr:cNvPr id="3347" name="Drop Down 275" hidden="1">
              <a:extLst>
                <a:ext uri="{63B3BB69-23CF-44E3-9099-C40C66FF867C}">
                  <a14:compatExt spid="_x0000_s3347"/>
                </a:ext>
                <a:ext uri="{FF2B5EF4-FFF2-40B4-BE49-F238E27FC236}">
                  <a16:creationId xmlns:a16="http://schemas.microsoft.com/office/drawing/2014/main" id="{575F2E9E-E905-78EE-A6E7-1E3B2DA6742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21</xdr:row>
          <xdr:rowOff>15240</xdr:rowOff>
        </xdr:from>
        <xdr:to>
          <xdr:col>4</xdr:col>
          <xdr:colOff>15240</xdr:colOff>
          <xdr:row>22</xdr:row>
          <xdr:rowOff>0</xdr:rowOff>
        </xdr:to>
        <xdr:sp macro="" textlink="">
          <xdr:nvSpPr>
            <xdr:cNvPr id="3351" name="Drop Down 279" hidden="1">
              <a:extLst>
                <a:ext uri="{63B3BB69-23CF-44E3-9099-C40C66FF867C}">
                  <a14:compatExt spid="_x0000_s3351"/>
                </a:ext>
                <a:ext uri="{FF2B5EF4-FFF2-40B4-BE49-F238E27FC236}">
                  <a16:creationId xmlns:a16="http://schemas.microsoft.com/office/drawing/2014/main" id="{2311B1AA-60AB-5534-11DD-F0D9CCDE88D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22</xdr:row>
          <xdr:rowOff>15240</xdr:rowOff>
        </xdr:from>
        <xdr:to>
          <xdr:col>4</xdr:col>
          <xdr:colOff>15240</xdr:colOff>
          <xdr:row>23</xdr:row>
          <xdr:rowOff>0</xdr:rowOff>
        </xdr:to>
        <xdr:sp macro="" textlink="">
          <xdr:nvSpPr>
            <xdr:cNvPr id="3355" name="Drop Down 283" hidden="1">
              <a:extLst>
                <a:ext uri="{63B3BB69-23CF-44E3-9099-C40C66FF867C}">
                  <a14:compatExt spid="_x0000_s3355"/>
                </a:ext>
                <a:ext uri="{FF2B5EF4-FFF2-40B4-BE49-F238E27FC236}">
                  <a16:creationId xmlns:a16="http://schemas.microsoft.com/office/drawing/2014/main" id="{F0479E56-E43D-64CF-85E6-97E9DEC635D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23</xdr:row>
          <xdr:rowOff>15240</xdr:rowOff>
        </xdr:from>
        <xdr:to>
          <xdr:col>4</xdr:col>
          <xdr:colOff>15240</xdr:colOff>
          <xdr:row>24</xdr:row>
          <xdr:rowOff>0</xdr:rowOff>
        </xdr:to>
        <xdr:sp macro="" textlink="">
          <xdr:nvSpPr>
            <xdr:cNvPr id="3359" name="Drop Down 287" hidden="1">
              <a:extLst>
                <a:ext uri="{63B3BB69-23CF-44E3-9099-C40C66FF867C}">
                  <a14:compatExt spid="_x0000_s3359"/>
                </a:ext>
                <a:ext uri="{FF2B5EF4-FFF2-40B4-BE49-F238E27FC236}">
                  <a16:creationId xmlns:a16="http://schemas.microsoft.com/office/drawing/2014/main" id="{FD831E17-0602-2E52-6961-6CAF59E519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24</xdr:row>
          <xdr:rowOff>15240</xdr:rowOff>
        </xdr:from>
        <xdr:to>
          <xdr:col>4</xdr:col>
          <xdr:colOff>15240</xdr:colOff>
          <xdr:row>25</xdr:row>
          <xdr:rowOff>0</xdr:rowOff>
        </xdr:to>
        <xdr:sp macro="" textlink="">
          <xdr:nvSpPr>
            <xdr:cNvPr id="3363" name="Drop Down 291" hidden="1">
              <a:extLst>
                <a:ext uri="{63B3BB69-23CF-44E3-9099-C40C66FF867C}">
                  <a14:compatExt spid="_x0000_s3363"/>
                </a:ext>
                <a:ext uri="{FF2B5EF4-FFF2-40B4-BE49-F238E27FC236}">
                  <a16:creationId xmlns:a16="http://schemas.microsoft.com/office/drawing/2014/main" id="{61803086-BCFB-35ED-F540-E3D14D19DA6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25</xdr:row>
          <xdr:rowOff>15240</xdr:rowOff>
        </xdr:from>
        <xdr:to>
          <xdr:col>4</xdr:col>
          <xdr:colOff>15240</xdr:colOff>
          <xdr:row>26</xdr:row>
          <xdr:rowOff>0</xdr:rowOff>
        </xdr:to>
        <xdr:sp macro="" textlink="">
          <xdr:nvSpPr>
            <xdr:cNvPr id="3367" name="Drop Down 295" hidden="1">
              <a:extLst>
                <a:ext uri="{63B3BB69-23CF-44E3-9099-C40C66FF867C}">
                  <a14:compatExt spid="_x0000_s3367"/>
                </a:ext>
                <a:ext uri="{FF2B5EF4-FFF2-40B4-BE49-F238E27FC236}">
                  <a16:creationId xmlns:a16="http://schemas.microsoft.com/office/drawing/2014/main" id="{DEB15C19-7114-6952-96A9-A92F867F76E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26</xdr:row>
          <xdr:rowOff>15240</xdr:rowOff>
        </xdr:from>
        <xdr:to>
          <xdr:col>4</xdr:col>
          <xdr:colOff>15240</xdr:colOff>
          <xdr:row>27</xdr:row>
          <xdr:rowOff>0</xdr:rowOff>
        </xdr:to>
        <xdr:sp macro="" textlink="">
          <xdr:nvSpPr>
            <xdr:cNvPr id="3371" name="Drop Down 299" hidden="1">
              <a:extLst>
                <a:ext uri="{63B3BB69-23CF-44E3-9099-C40C66FF867C}">
                  <a14:compatExt spid="_x0000_s3371"/>
                </a:ext>
                <a:ext uri="{FF2B5EF4-FFF2-40B4-BE49-F238E27FC236}">
                  <a16:creationId xmlns:a16="http://schemas.microsoft.com/office/drawing/2014/main" id="{DBD52A8D-E48F-6A02-67E7-A0ACC124FA0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27</xdr:row>
          <xdr:rowOff>15240</xdr:rowOff>
        </xdr:from>
        <xdr:to>
          <xdr:col>4</xdr:col>
          <xdr:colOff>15240</xdr:colOff>
          <xdr:row>28</xdr:row>
          <xdr:rowOff>0</xdr:rowOff>
        </xdr:to>
        <xdr:sp macro="" textlink="">
          <xdr:nvSpPr>
            <xdr:cNvPr id="3375" name="Drop Down 303" hidden="1">
              <a:extLst>
                <a:ext uri="{63B3BB69-23CF-44E3-9099-C40C66FF867C}">
                  <a14:compatExt spid="_x0000_s3375"/>
                </a:ext>
                <a:ext uri="{FF2B5EF4-FFF2-40B4-BE49-F238E27FC236}">
                  <a16:creationId xmlns:a16="http://schemas.microsoft.com/office/drawing/2014/main" id="{E82569D5-85C7-9143-6DEB-C9B463DBF27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28</xdr:row>
          <xdr:rowOff>15240</xdr:rowOff>
        </xdr:from>
        <xdr:to>
          <xdr:col>4</xdr:col>
          <xdr:colOff>15240</xdr:colOff>
          <xdr:row>29</xdr:row>
          <xdr:rowOff>0</xdr:rowOff>
        </xdr:to>
        <xdr:sp macro="" textlink="">
          <xdr:nvSpPr>
            <xdr:cNvPr id="3379" name="Drop Down 307" hidden="1">
              <a:extLst>
                <a:ext uri="{63B3BB69-23CF-44E3-9099-C40C66FF867C}">
                  <a14:compatExt spid="_x0000_s3379"/>
                </a:ext>
                <a:ext uri="{FF2B5EF4-FFF2-40B4-BE49-F238E27FC236}">
                  <a16:creationId xmlns:a16="http://schemas.microsoft.com/office/drawing/2014/main" id="{9CFF5DC6-FCE3-2DD0-304A-441AC0BA65E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15240</xdr:rowOff>
        </xdr:from>
        <xdr:to>
          <xdr:col>4</xdr:col>
          <xdr:colOff>15240</xdr:colOff>
          <xdr:row>5</xdr:row>
          <xdr:rowOff>0</xdr:rowOff>
        </xdr:to>
        <xdr:sp macro="" textlink="">
          <xdr:nvSpPr>
            <xdr:cNvPr id="3400" name="Drop Down 328" hidden="1">
              <a:extLst>
                <a:ext uri="{63B3BB69-23CF-44E3-9099-C40C66FF867C}">
                  <a14:compatExt spid="_x0000_s3400"/>
                </a:ext>
                <a:ext uri="{FF2B5EF4-FFF2-40B4-BE49-F238E27FC236}">
                  <a16:creationId xmlns:a16="http://schemas.microsoft.com/office/drawing/2014/main" id="{10EAFEF9-D1EE-57D6-5B28-923F4024C39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5</xdr:row>
          <xdr:rowOff>15240</xdr:rowOff>
        </xdr:from>
        <xdr:to>
          <xdr:col>4</xdr:col>
          <xdr:colOff>15240</xdr:colOff>
          <xdr:row>6</xdr:row>
          <xdr:rowOff>0</xdr:rowOff>
        </xdr:to>
        <xdr:sp macro="" textlink="">
          <xdr:nvSpPr>
            <xdr:cNvPr id="3404" name="Drop Down 332" hidden="1">
              <a:extLst>
                <a:ext uri="{63B3BB69-23CF-44E3-9099-C40C66FF867C}">
                  <a14:compatExt spid="_x0000_s3404"/>
                </a:ext>
                <a:ext uri="{FF2B5EF4-FFF2-40B4-BE49-F238E27FC236}">
                  <a16:creationId xmlns:a16="http://schemas.microsoft.com/office/drawing/2014/main" id="{C5583C23-E674-4D41-9EB5-88446F89626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6</xdr:row>
          <xdr:rowOff>15240</xdr:rowOff>
        </xdr:from>
        <xdr:to>
          <xdr:col>4</xdr:col>
          <xdr:colOff>15240</xdr:colOff>
          <xdr:row>7</xdr:row>
          <xdr:rowOff>0</xdr:rowOff>
        </xdr:to>
        <xdr:sp macro="" textlink="">
          <xdr:nvSpPr>
            <xdr:cNvPr id="3408" name="Drop Down 336" hidden="1">
              <a:extLst>
                <a:ext uri="{63B3BB69-23CF-44E3-9099-C40C66FF867C}">
                  <a14:compatExt spid="_x0000_s3408"/>
                </a:ext>
                <a:ext uri="{FF2B5EF4-FFF2-40B4-BE49-F238E27FC236}">
                  <a16:creationId xmlns:a16="http://schemas.microsoft.com/office/drawing/2014/main" id="{3EBFB09B-ED67-0AC3-E2E1-5844A34C899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7</xdr:row>
          <xdr:rowOff>15240</xdr:rowOff>
        </xdr:from>
        <xdr:to>
          <xdr:col>4</xdr:col>
          <xdr:colOff>15240</xdr:colOff>
          <xdr:row>8</xdr:row>
          <xdr:rowOff>0</xdr:rowOff>
        </xdr:to>
        <xdr:sp macro="" textlink="">
          <xdr:nvSpPr>
            <xdr:cNvPr id="3412" name="Drop Down 340" hidden="1">
              <a:extLst>
                <a:ext uri="{63B3BB69-23CF-44E3-9099-C40C66FF867C}">
                  <a14:compatExt spid="_x0000_s3412"/>
                </a:ext>
                <a:ext uri="{FF2B5EF4-FFF2-40B4-BE49-F238E27FC236}">
                  <a16:creationId xmlns:a16="http://schemas.microsoft.com/office/drawing/2014/main" id="{3943865C-FE81-FB47-9296-8B2C5003E0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8</xdr:row>
          <xdr:rowOff>15240</xdr:rowOff>
        </xdr:from>
        <xdr:to>
          <xdr:col>5</xdr:col>
          <xdr:colOff>0</xdr:colOff>
          <xdr:row>9</xdr:row>
          <xdr:rowOff>0</xdr:rowOff>
        </xdr:to>
        <xdr:sp macro="" textlink="">
          <xdr:nvSpPr>
            <xdr:cNvPr id="3413" name="Drop Down 341" hidden="1">
              <a:extLst>
                <a:ext uri="{63B3BB69-23CF-44E3-9099-C40C66FF867C}">
                  <a14:compatExt spid="_x0000_s3413"/>
                </a:ext>
                <a:ext uri="{FF2B5EF4-FFF2-40B4-BE49-F238E27FC236}">
                  <a16:creationId xmlns:a16="http://schemas.microsoft.com/office/drawing/2014/main" id="{81CD73EA-EFD8-B1EE-A842-A2111B62BFA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9</xdr:row>
          <xdr:rowOff>15240</xdr:rowOff>
        </xdr:from>
        <xdr:to>
          <xdr:col>5</xdr:col>
          <xdr:colOff>0</xdr:colOff>
          <xdr:row>10</xdr:row>
          <xdr:rowOff>0</xdr:rowOff>
        </xdr:to>
        <xdr:sp macro="" textlink="">
          <xdr:nvSpPr>
            <xdr:cNvPr id="3414" name="Drop Down 342" hidden="1">
              <a:extLst>
                <a:ext uri="{63B3BB69-23CF-44E3-9099-C40C66FF867C}">
                  <a14:compatExt spid="_x0000_s3414"/>
                </a:ext>
                <a:ext uri="{FF2B5EF4-FFF2-40B4-BE49-F238E27FC236}">
                  <a16:creationId xmlns:a16="http://schemas.microsoft.com/office/drawing/2014/main" id="{233D37D7-9584-26A7-CC24-1DBE1FFAE29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10</xdr:row>
          <xdr:rowOff>15240</xdr:rowOff>
        </xdr:from>
        <xdr:to>
          <xdr:col>5</xdr:col>
          <xdr:colOff>0</xdr:colOff>
          <xdr:row>11</xdr:row>
          <xdr:rowOff>0</xdr:rowOff>
        </xdr:to>
        <xdr:sp macro="" textlink="">
          <xdr:nvSpPr>
            <xdr:cNvPr id="3415" name="Drop Down 343" hidden="1">
              <a:extLst>
                <a:ext uri="{63B3BB69-23CF-44E3-9099-C40C66FF867C}">
                  <a14:compatExt spid="_x0000_s3415"/>
                </a:ext>
                <a:ext uri="{FF2B5EF4-FFF2-40B4-BE49-F238E27FC236}">
                  <a16:creationId xmlns:a16="http://schemas.microsoft.com/office/drawing/2014/main" id="{DFAEC9E0-A190-72C7-E39D-A6DECA87C4E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11</xdr:row>
          <xdr:rowOff>15240</xdr:rowOff>
        </xdr:from>
        <xdr:to>
          <xdr:col>5</xdr:col>
          <xdr:colOff>0</xdr:colOff>
          <xdr:row>12</xdr:row>
          <xdr:rowOff>0</xdr:rowOff>
        </xdr:to>
        <xdr:sp macro="" textlink="">
          <xdr:nvSpPr>
            <xdr:cNvPr id="3416" name="Drop Down 344" hidden="1">
              <a:extLst>
                <a:ext uri="{63B3BB69-23CF-44E3-9099-C40C66FF867C}">
                  <a14:compatExt spid="_x0000_s3416"/>
                </a:ext>
                <a:ext uri="{FF2B5EF4-FFF2-40B4-BE49-F238E27FC236}">
                  <a16:creationId xmlns:a16="http://schemas.microsoft.com/office/drawing/2014/main" id="{C9FED832-C989-0DF3-BC1B-2C9EDB0D75E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12</xdr:row>
          <xdr:rowOff>15240</xdr:rowOff>
        </xdr:from>
        <xdr:to>
          <xdr:col>5</xdr:col>
          <xdr:colOff>0</xdr:colOff>
          <xdr:row>13</xdr:row>
          <xdr:rowOff>0</xdr:rowOff>
        </xdr:to>
        <xdr:sp macro="" textlink="">
          <xdr:nvSpPr>
            <xdr:cNvPr id="3417" name="Drop Down 345" hidden="1">
              <a:extLst>
                <a:ext uri="{63B3BB69-23CF-44E3-9099-C40C66FF867C}">
                  <a14:compatExt spid="_x0000_s3417"/>
                </a:ext>
                <a:ext uri="{FF2B5EF4-FFF2-40B4-BE49-F238E27FC236}">
                  <a16:creationId xmlns:a16="http://schemas.microsoft.com/office/drawing/2014/main" id="{AFAD0A9E-D9A7-8AF9-48D6-D4FE2261B8F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13</xdr:row>
          <xdr:rowOff>15240</xdr:rowOff>
        </xdr:from>
        <xdr:to>
          <xdr:col>5</xdr:col>
          <xdr:colOff>0</xdr:colOff>
          <xdr:row>14</xdr:row>
          <xdr:rowOff>0</xdr:rowOff>
        </xdr:to>
        <xdr:sp macro="" textlink="">
          <xdr:nvSpPr>
            <xdr:cNvPr id="3418" name="Drop Down 346" hidden="1">
              <a:extLst>
                <a:ext uri="{63B3BB69-23CF-44E3-9099-C40C66FF867C}">
                  <a14:compatExt spid="_x0000_s3418"/>
                </a:ext>
                <a:ext uri="{FF2B5EF4-FFF2-40B4-BE49-F238E27FC236}">
                  <a16:creationId xmlns:a16="http://schemas.microsoft.com/office/drawing/2014/main" id="{C2A44884-030B-DB04-8FDA-F47D266ADBA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14</xdr:row>
          <xdr:rowOff>15240</xdr:rowOff>
        </xdr:from>
        <xdr:to>
          <xdr:col>5</xdr:col>
          <xdr:colOff>0</xdr:colOff>
          <xdr:row>15</xdr:row>
          <xdr:rowOff>0</xdr:rowOff>
        </xdr:to>
        <xdr:sp macro="" textlink="">
          <xdr:nvSpPr>
            <xdr:cNvPr id="3419" name="Drop Down 347" hidden="1">
              <a:extLst>
                <a:ext uri="{63B3BB69-23CF-44E3-9099-C40C66FF867C}">
                  <a14:compatExt spid="_x0000_s3419"/>
                </a:ext>
                <a:ext uri="{FF2B5EF4-FFF2-40B4-BE49-F238E27FC236}">
                  <a16:creationId xmlns:a16="http://schemas.microsoft.com/office/drawing/2014/main" id="{9FF9B4A2-7C2B-63D8-6A66-A6E414F6353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15</xdr:row>
          <xdr:rowOff>15240</xdr:rowOff>
        </xdr:from>
        <xdr:to>
          <xdr:col>5</xdr:col>
          <xdr:colOff>0</xdr:colOff>
          <xdr:row>16</xdr:row>
          <xdr:rowOff>0</xdr:rowOff>
        </xdr:to>
        <xdr:sp macro="" textlink="">
          <xdr:nvSpPr>
            <xdr:cNvPr id="3420" name="Drop Down 348" hidden="1">
              <a:extLst>
                <a:ext uri="{63B3BB69-23CF-44E3-9099-C40C66FF867C}">
                  <a14:compatExt spid="_x0000_s3420"/>
                </a:ext>
                <a:ext uri="{FF2B5EF4-FFF2-40B4-BE49-F238E27FC236}">
                  <a16:creationId xmlns:a16="http://schemas.microsoft.com/office/drawing/2014/main" id="{5F6D7609-33F8-F8A8-41AF-B339FDFE679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16</xdr:row>
          <xdr:rowOff>15240</xdr:rowOff>
        </xdr:from>
        <xdr:to>
          <xdr:col>5</xdr:col>
          <xdr:colOff>0</xdr:colOff>
          <xdr:row>17</xdr:row>
          <xdr:rowOff>0</xdr:rowOff>
        </xdr:to>
        <xdr:sp macro="" textlink="">
          <xdr:nvSpPr>
            <xdr:cNvPr id="3421" name="Drop Down 349" hidden="1">
              <a:extLst>
                <a:ext uri="{63B3BB69-23CF-44E3-9099-C40C66FF867C}">
                  <a14:compatExt spid="_x0000_s3421"/>
                </a:ext>
                <a:ext uri="{FF2B5EF4-FFF2-40B4-BE49-F238E27FC236}">
                  <a16:creationId xmlns:a16="http://schemas.microsoft.com/office/drawing/2014/main" id="{6F2AE1FC-AD51-BAFD-BD52-E2D1038FDA7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17</xdr:row>
          <xdr:rowOff>15240</xdr:rowOff>
        </xdr:from>
        <xdr:to>
          <xdr:col>5</xdr:col>
          <xdr:colOff>0</xdr:colOff>
          <xdr:row>18</xdr:row>
          <xdr:rowOff>0</xdr:rowOff>
        </xdr:to>
        <xdr:sp macro="" textlink="">
          <xdr:nvSpPr>
            <xdr:cNvPr id="3422" name="Drop Down 350" hidden="1">
              <a:extLst>
                <a:ext uri="{63B3BB69-23CF-44E3-9099-C40C66FF867C}">
                  <a14:compatExt spid="_x0000_s3422"/>
                </a:ext>
                <a:ext uri="{FF2B5EF4-FFF2-40B4-BE49-F238E27FC236}">
                  <a16:creationId xmlns:a16="http://schemas.microsoft.com/office/drawing/2014/main" id="{B2DFCD17-C0A4-A61A-F44D-1C3BF650DCD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18</xdr:row>
          <xdr:rowOff>15240</xdr:rowOff>
        </xdr:from>
        <xdr:to>
          <xdr:col>5</xdr:col>
          <xdr:colOff>0</xdr:colOff>
          <xdr:row>19</xdr:row>
          <xdr:rowOff>0</xdr:rowOff>
        </xdr:to>
        <xdr:sp macro="" textlink="">
          <xdr:nvSpPr>
            <xdr:cNvPr id="3423" name="Drop Down 351" hidden="1">
              <a:extLst>
                <a:ext uri="{63B3BB69-23CF-44E3-9099-C40C66FF867C}">
                  <a14:compatExt spid="_x0000_s3423"/>
                </a:ext>
                <a:ext uri="{FF2B5EF4-FFF2-40B4-BE49-F238E27FC236}">
                  <a16:creationId xmlns:a16="http://schemas.microsoft.com/office/drawing/2014/main" id="{D735CC04-ECBD-627A-8162-48227143E55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19</xdr:row>
          <xdr:rowOff>15240</xdr:rowOff>
        </xdr:from>
        <xdr:to>
          <xdr:col>5</xdr:col>
          <xdr:colOff>0</xdr:colOff>
          <xdr:row>20</xdr:row>
          <xdr:rowOff>0</xdr:rowOff>
        </xdr:to>
        <xdr:sp macro="" textlink="">
          <xdr:nvSpPr>
            <xdr:cNvPr id="3424" name="Drop Down 352" hidden="1">
              <a:extLst>
                <a:ext uri="{63B3BB69-23CF-44E3-9099-C40C66FF867C}">
                  <a14:compatExt spid="_x0000_s3424"/>
                </a:ext>
                <a:ext uri="{FF2B5EF4-FFF2-40B4-BE49-F238E27FC236}">
                  <a16:creationId xmlns:a16="http://schemas.microsoft.com/office/drawing/2014/main" id="{F5F6E860-7AAE-8E81-37A6-6F789EDD8CF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20</xdr:row>
          <xdr:rowOff>15240</xdr:rowOff>
        </xdr:from>
        <xdr:to>
          <xdr:col>5</xdr:col>
          <xdr:colOff>0</xdr:colOff>
          <xdr:row>21</xdr:row>
          <xdr:rowOff>0</xdr:rowOff>
        </xdr:to>
        <xdr:sp macro="" textlink="">
          <xdr:nvSpPr>
            <xdr:cNvPr id="3425" name="Drop Down 353" hidden="1">
              <a:extLst>
                <a:ext uri="{63B3BB69-23CF-44E3-9099-C40C66FF867C}">
                  <a14:compatExt spid="_x0000_s3425"/>
                </a:ext>
                <a:ext uri="{FF2B5EF4-FFF2-40B4-BE49-F238E27FC236}">
                  <a16:creationId xmlns:a16="http://schemas.microsoft.com/office/drawing/2014/main" id="{7112ADBD-494E-8326-5E87-5DAD4F38E87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21</xdr:row>
          <xdr:rowOff>15240</xdr:rowOff>
        </xdr:from>
        <xdr:to>
          <xdr:col>5</xdr:col>
          <xdr:colOff>0</xdr:colOff>
          <xdr:row>22</xdr:row>
          <xdr:rowOff>0</xdr:rowOff>
        </xdr:to>
        <xdr:sp macro="" textlink="">
          <xdr:nvSpPr>
            <xdr:cNvPr id="3426" name="Drop Down 354" hidden="1">
              <a:extLst>
                <a:ext uri="{63B3BB69-23CF-44E3-9099-C40C66FF867C}">
                  <a14:compatExt spid="_x0000_s3426"/>
                </a:ext>
                <a:ext uri="{FF2B5EF4-FFF2-40B4-BE49-F238E27FC236}">
                  <a16:creationId xmlns:a16="http://schemas.microsoft.com/office/drawing/2014/main" id="{C8843B18-E37A-25E0-4D42-7E0E4561904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22</xdr:row>
          <xdr:rowOff>15240</xdr:rowOff>
        </xdr:from>
        <xdr:to>
          <xdr:col>5</xdr:col>
          <xdr:colOff>0</xdr:colOff>
          <xdr:row>23</xdr:row>
          <xdr:rowOff>0</xdr:rowOff>
        </xdr:to>
        <xdr:sp macro="" textlink="">
          <xdr:nvSpPr>
            <xdr:cNvPr id="3427" name="Drop Down 355" hidden="1">
              <a:extLst>
                <a:ext uri="{63B3BB69-23CF-44E3-9099-C40C66FF867C}">
                  <a14:compatExt spid="_x0000_s3427"/>
                </a:ext>
                <a:ext uri="{FF2B5EF4-FFF2-40B4-BE49-F238E27FC236}">
                  <a16:creationId xmlns:a16="http://schemas.microsoft.com/office/drawing/2014/main" id="{3498ED70-F1F2-7257-80EC-357EE61A00F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23</xdr:row>
          <xdr:rowOff>15240</xdr:rowOff>
        </xdr:from>
        <xdr:to>
          <xdr:col>5</xdr:col>
          <xdr:colOff>0</xdr:colOff>
          <xdr:row>24</xdr:row>
          <xdr:rowOff>0</xdr:rowOff>
        </xdr:to>
        <xdr:sp macro="" textlink="">
          <xdr:nvSpPr>
            <xdr:cNvPr id="3428" name="Drop Down 356" hidden="1">
              <a:extLst>
                <a:ext uri="{63B3BB69-23CF-44E3-9099-C40C66FF867C}">
                  <a14:compatExt spid="_x0000_s3428"/>
                </a:ext>
                <a:ext uri="{FF2B5EF4-FFF2-40B4-BE49-F238E27FC236}">
                  <a16:creationId xmlns:a16="http://schemas.microsoft.com/office/drawing/2014/main" id="{2E86A77A-535F-DE73-319B-AED92E324E1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24</xdr:row>
          <xdr:rowOff>15240</xdr:rowOff>
        </xdr:from>
        <xdr:to>
          <xdr:col>5</xdr:col>
          <xdr:colOff>0</xdr:colOff>
          <xdr:row>25</xdr:row>
          <xdr:rowOff>0</xdr:rowOff>
        </xdr:to>
        <xdr:sp macro="" textlink="">
          <xdr:nvSpPr>
            <xdr:cNvPr id="3429" name="Drop Down 357" hidden="1">
              <a:extLst>
                <a:ext uri="{63B3BB69-23CF-44E3-9099-C40C66FF867C}">
                  <a14:compatExt spid="_x0000_s3429"/>
                </a:ext>
                <a:ext uri="{FF2B5EF4-FFF2-40B4-BE49-F238E27FC236}">
                  <a16:creationId xmlns:a16="http://schemas.microsoft.com/office/drawing/2014/main" id="{0628C769-95E6-EC89-07C3-3275944D52C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25</xdr:row>
          <xdr:rowOff>15240</xdr:rowOff>
        </xdr:from>
        <xdr:to>
          <xdr:col>5</xdr:col>
          <xdr:colOff>0</xdr:colOff>
          <xdr:row>26</xdr:row>
          <xdr:rowOff>0</xdr:rowOff>
        </xdr:to>
        <xdr:sp macro="" textlink="">
          <xdr:nvSpPr>
            <xdr:cNvPr id="3430" name="Drop Down 358" hidden="1">
              <a:extLst>
                <a:ext uri="{63B3BB69-23CF-44E3-9099-C40C66FF867C}">
                  <a14:compatExt spid="_x0000_s3430"/>
                </a:ext>
                <a:ext uri="{FF2B5EF4-FFF2-40B4-BE49-F238E27FC236}">
                  <a16:creationId xmlns:a16="http://schemas.microsoft.com/office/drawing/2014/main" id="{748FC976-443D-020E-9410-EE2C4177769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26</xdr:row>
          <xdr:rowOff>15240</xdr:rowOff>
        </xdr:from>
        <xdr:to>
          <xdr:col>5</xdr:col>
          <xdr:colOff>0</xdr:colOff>
          <xdr:row>27</xdr:row>
          <xdr:rowOff>0</xdr:rowOff>
        </xdr:to>
        <xdr:sp macro="" textlink="">
          <xdr:nvSpPr>
            <xdr:cNvPr id="3431" name="Drop Down 359" hidden="1">
              <a:extLst>
                <a:ext uri="{63B3BB69-23CF-44E3-9099-C40C66FF867C}">
                  <a14:compatExt spid="_x0000_s3431"/>
                </a:ext>
                <a:ext uri="{FF2B5EF4-FFF2-40B4-BE49-F238E27FC236}">
                  <a16:creationId xmlns:a16="http://schemas.microsoft.com/office/drawing/2014/main" id="{58300C32-1C9B-8767-72D2-FA1BB9FF662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27</xdr:row>
          <xdr:rowOff>15240</xdr:rowOff>
        </xdr:from>
        <xdr:to>
          <xdr:col>5</xdr:col>
          <xdr:colOff>0</xdr:colOff>
          <xdr:row>28</xdr:row>
          <xdr:rowOff>0</xdr:rowOff>
        </xdr:to>
        <xdr:sp macro="" textlink="">
          <xdr:nvSpPr>
            <xdr:cNvPr id="3432" name="Drop Down 360" hidden="1">
              <a:extLst>
                <a:ext uri="{63B3BB69-23CF-44E3-9099-C40C66FF867C}">
                  <a14:compatExt spid="_x0000_s3432"/>
                </a:ext>
                <a:ext uri="{FF2B5EF4-FFF2-40B4-BE49-F238E27FC236}">
                  <a16:creationId xmlns:a16="http://schemas.microsoft.com/office/drawing/2014/main" id="{C3214EF3-DED1-353B-6FE2-3D0DCFD721C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28</xdr:row>
          <xdr:rowOff>15240</xdr:rowOff>
        </xdr:from>
        <xdr:to>
          <xdr:col>5</xdr:col>
          <xdr:colOff>0</xdr:colOff>
          <xdr:row>29</xdr:row>
          <xdr:rowOff>0</xdr:rowOff>
        </xdr:to>
        <xdr:sp macro="" textlink="">
          <xdr:nvSpPr>
            <xdr:cNvPr id="3433" name="Drop Down 361" hidden="1">
              <a:extLst>
                <a:ext uri="{63B3BB69-23CF-44E3-9099-C40C66FF867C}">
                  <a14:compatExt spid="_x0000_s3433"/>
                </a:ext>
                <a:ext uri="{FF2B5EF4-FFF2-40B4-BE49-F238E27FC236}">
                  <a16:creationId xmlns:a16="http://schemas.microsoft.com/office/drawing/2014/main" id="{27C13535-DBED-0659-07D2-9362EE3FF7E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4</xdr:row>
          <xdr:rowOff>15240</xdr:rowOff>
        </xdr:from>
        <xdr:to>
          <xdr:col>5</xdr:col>
          <xdr:colOff>0</xdr:colOff>
          <xdr:row>5</xdr:row>
          <xdr:rowOff>0</xdr:rowOff>
        </xdr:to>
        <xdr:sp macro="" textlink="">
          <xdr:nvSpPr>
            <xdr:cNvPr id="3434" name="Drop Down 362" hidden="1">
              <a:extLst>
                <a:ext uri="{63B3BB69-23CF-44E3-9099-C40C66FF867C}">
                  <a14:compatExt spid="_x0000_s3434"/>
                </a:ext>
                <a:ext uri="{FF2B5EF4-FFF2-40B4-BE49-F238E27FC236}">
                  <a16:creationId xmlns:a16="http://schemas.microsoft.com/office/drawing/2014/main" id="{3754DAB4-3155-8189-5F1F-483E6D8A009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5</xdr:row>
          <xdr:rowOff>15240</xdr:rowOff>
        </xdr:from>
        <xdr:to>
          <xdr:col>5</xdr:col>
          <xdr:colOff>0</xdr:colOff>
          <xdr:row>6</xdr:row>
          <xdr:rowOff>0</xdr:rowOff>
        </xdr:to>
        <xdr:sp macro="" textlink="">
          <xdr:nvSpPr>
            <xdr:cNvPr id="3435" name="Drop Down 363" hidden="1">
              <a:extLst>
                <a:ext uri="{63B3BB69-23CF-44E3-9099-C40C66FF867C}">
                  <a14:compatExt spid="_x0000_s3435"/>
                </a:ext>
                <a:ext uri="{FF2B5EF4-FFF2-40B4-BE49-F238E27FC236}">
                  <a16:creationId xmlns:a16="http://schemas.microsoft.com/office/drawing/2014/main" id="{FE2C2EAE-64B8-A0F8-1985-61704D8320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6</xdr:row>
          <xdr:rowOff>15240</xdr:rowOff>
        </xdr:from>
        <xdr:to>
          <xdr:col>5</xdr:col>
          <xdr:colOff>0</xdr:colOff>
          <xdr:row>7</xdr:row>
          <xdr:rowOff>0</xdr:rowOff>
        </xdr:to>
        <xdr:sp macro="" textlink="">
          <xdr:nvSpPr>
            <xdr:cNvPr id="3436" name="Drop Down 364" hidden="1">
              <a:extLst>
                <a:ext uri="{63B3BB69-23CF-44E3-9099-C40C66FF867C}">
                  <a14:compatExt spid="_x0000_s3436"/>
                </a:ext>
                <a:ext uri="{FF2B5EF4-FFF2-40B4-BE49-F238E27FC236}">
                  <a16:creationId xmlns:a16="http://schemas.microsoft.com/office/drawing/2014/main" id="{017E1665-E6E7-C337-80BE-38D47753494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xdr:row>
          <xdr:rowOff>15240</xdr:rowOff>
        </xdr:from>
        <xdr:to>
          <xdr:col>5</xdr:col>
          <xdr:colOff>0</xdr:colOff>
          <xdr:row>8</xdr:row>
          <xdr:rowOff>0</xdr:rowOff>
        </xdr:to>
        <xdr:sp macro="" textlink="">
          <xdr:nvSpPr>
            <xdr:cNvPr id="3437" name="Drop Down 365" hidden="1">
              <a:extLst>
                <a:ext uri="{63B3BB69-23CF-44E3-9099-C40C66FF867C}">
                  <a14:compatExt spid="_x0000_s3437"/>
                </a:ext>
                <a:ext uri="{FF2B5EF4-FFF2-40B4-BE49-F238E27FC236}">
                  <a16:creationId xmlns:a16="http://schemas.microsoft.com/office/drawing/2014/main" id="{18468E07-B3F7-89BB-EE77-A69DE96EDF6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8</xdr:row>
          <xdr:rowOff>15240</xdr:rowOff>
        </xdr:from>
        <xdr:to>
          <xdr:col>6</xdr:col>
          <xdr:colOff>0</xdr:colOff>
          <xdr:row>9</xdr:row>
          <xdr:rowOff>0</xdr:rowOff>
        </xdr:to>
        <xdr:sp macro="" textlink="">
          <xdr:nvSpPr>
            <xdr:cNvPr id="3438" name="Drop Down 366" hidden="1">
              <a:extLst>
                <a:ext uri="{63B3BB69-23CF-44E3-9099-C40C66FF867C}">
                  <a14:compatExt spid="_x0000_s3438"/>
                </a:ext>
                <a:ext uri="{FF2B5EF4-FFF2-40B4-BE49-F238E27FC236}">
                  <a16:creationId xmlns:a16="http://schemas.microsoft.com/office/drawing/2014/main" id="{FE6A0AE3-87AE-996A-51E9-D88CA49389B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9</xdr:row>
          <xdr:rowOff>15240</xdr:rowOff>
        </xdr:from>
        <xdr:to>
          <xdr:col>6</xdr:col>
          <xdr:colOff>0</xdr:colOff>
          <xdr:row>10</xdr:row>
          <xdr:rowOff>0</xdr:rowOff>
        </xdr:to>
        <xdr:sp macro="" textlink="">
          <xdr:nvSpPr>
            <xdr:cNvPr id="3439" name="Drop Down 367" hidden="1">
              <a:extLst>
                <a:ext uri="{63B3BB69-23CF-44E3-9099-C40C66FF867C}">
                  <a14:compatExt spid="_x0000_s3439"/>
                </a:ext>
                <a:ext uri="{FF2B5EF4-FFF2-40B4-BE49-F238E27FC236}">
                  <a16:creationId xmlns:a16="http://schemas.microsoft.com/office/drawing/2014/main" id="{C695C384-C38D-C341-415D-910A8E7F5B9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10</xdr:row>
          <xdr:rowOff>15240</xdr:rowOff>
        </xdr:from>
        <xdr:to>
          <xdr:col>6</xdr:col>
          <xdr:colOff>0</xdr:colOff>
          <xdr:row>11</xdr:row>
          <xdr:rowOff>0</xdr:rowOff>
        </xdr:to>
        <xdr:sp macro="" textlink="">
          <xdr:nvSpPr>
            <xdr:cNvPr id="3440" name="Drop Down 368" hidden="1">
              <a:extLst>
                <a:ext uri="{63B3BB69-23CF-44E3-9099-C40C66FF867C}">
                  <a14:compatExt spid="_x0000_s3440"/>
                </a:ext>
                <a:ext uri="{FF2B5EF4-FFF2-40B4-BE49-F238E27FC236}">
                  <a16:creationId xmlns:a16="http://schemas.microsoft.com/office/drawing/2014/main" id="{43D41006-F8C3-E48E-8525-C774B09BE71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11</xdr:row>
          <xdr:rowOff>15240</xdr:rowOff>
        </xdr:from>
        <xdr:to>
          <xdr:col>6</xdr:col>
          <xdr:colOff>0</xdr:colOff>
          <xdr:row>12</xdr:row>
          <xdr:rowOff>0</xdr:rowOff>
        </xdr:to>
        <xdr:sp macro="" textlink="">
          <xdr:nvSpPr>
            <xdr:cNvPr id="3441" name="Drop Down 369" hidden="1">
              <a:extLst>
                <a:ext uri="{63B3BB69-23CF-44E3-9099-C40C66FF867C}">
                  <a14:compatExt spid="_x0000_s3441"/>
                </a:ext>
                <a:ext uri="{FF2B5EF4-FFF2-40B4-BE49-F238E27FC236}">
                  <a16:creationId xmlns:a16="http://schemas.microsoft.com/office/drawing/2014/main" id="{D4CCB71A-445B-E52D-C343-B452EB1197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12</xdr:row>
          <xdr:rowOff>15240</xdr:rowOff>
        </xdr:from>
        <xdr:to>
          <xdr:col>6</xdr:col>
          <xdr:colOff>0</xdr:colOff>
          <xdr:row>13</xdr:row>
          <xdr:rowOff>0</xdr:rowOff>
        </xdr:to>
        <xdr:sp macro="" textlink="">
          <xdr:nvSpPr>
            <xdr:cNvPr id="3442" name="Drop Down 370" hidden="1">
              <a:extLst>
                <a:ext uri="{63B3BB69-23CF-44E3-9099-C40C66FF867C}">
                  <a14:compatExt spid="_x0000_s3442"/>
                </a:ext>
                <a:ext uri="{FF2B5EF4-FFF2-40B4-BE49-F238E27FC236}">
                  <a16:creationId xmlns:a16="http://schemas.microsoft.com/office/drawing/2014/main" id="{6F2A7D65-60BF-CAFF-D650-C09C93971B4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13</xdr:row>
          <xdr:rowOff>15240</xdr:rowOff>
        </xdr:from>
        <xdr:to>
          <xdr:col>6</xdr:col>
          <xdr:colOff>0</xdr:colOff>
          <xdr:row>14</xdr:row>
          <xdr:rowOff>0</xdr:rowOff>
        </xdr:to>
        <xdr:sp macro="" textlink="">
          <xdr:nvSpPr>
            <xdr:cNvPr id="3443" name="Drop Down 371" hidden="1">
              <a:extLst>
                <a:ext uri="{63B3BB69-23CF-44E3-9099-C40C66FF867C}">
                  <a14:compatExt spid="_x0000_s3443"/>
                </a:ext>
                <a:ext uri="{FF2B5EF4-FFF2-40B4-BE49-F238E27FC236}">
                  <a16:creationId xmlns:a16="http://schemas.microsoft.com/office/drawing/2014/main" id="{B67A8BEE-D723-EE55-732F-F1C402AF301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14</xdr:row>
          <xdr:rowOff>15240</xdr:rowOff>
        </xdr:from>
        <xdr:to>
          <xdr:col>6</xdr:col>
          <xdr:colOff>0</xdr:colOff>
          <xdr:row>15</xdr:row>
          <xdr:rowOff>0</xdr:rowOff>
        </xdr:to>
        <xdr:sp macro="" textlink="">
          <xdr:nvSpPr>
            <xdr:cNvPr id="3444" name="Drop Down 372" hidden="1">
              <a:extLst>
                <a:ext uri="{63B3BB69-23CF-44E3-9099-C40C66FF867C}">
                  <a14:compatExt spid="_x0000_s3444"/>
                </a:ext>
                <a:ext uri="{FF2B5EF4-FFF2-40B4-BE49-F238E27FC236}">
                  <a16:creationId xmlns:a16="http://schemas.microsoft.com/office/drawing/2014/main" id="{CEED8434-ACCF-0BE6-0FEC-3D20E3E45A2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15</xdr:row>
          <xdr:rowOff>15240</xdr:rowOff>
        </xdr:from>
        <xdr:to>
          <xdr:col>6</xdr:col>
          <xdr:colOff>0</xdr:colOff>
          <xdr:row>16</xdr:row>
          <xdr:rowOff>0</xdr:rowOff>
        </xdr:to>
        <xdr:sp macro="" textlink="">
          <xdr:nvSpPr>
            <xdr:cNvPr id="3445" name="Drop Down 373" hidden="1">
              <a:extLst>
                <a:ext uri="{63B3BB69-23CF-44E3-9099-C40C66FF867C}">
                  <a14:compatExt spid="_x0000_s3445"/>
                </a:ext>
                <a:ext uri="{FF2B5EF4-FFF2-40B4-BE49-F238E27FC236}">
                  <a16:creationId xmlns:a16="http://schemas.microsoft.com/office/drawing/2014/main" id="{6850E175-29E0-146D-B5B2-357D27D1DEC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16</xdr:row>
          <xdr:rowOff>15240</xdr:rowOff>
        </xdr:from>
        <xdr:to>
          <xdr:col>6</xdr:col>
          <xdr:colOff>0</xdr:colOff>
          <xdr:row>17</xdr:row>
          <xdr:rowOff>0</xdr:rowOff>
        </xdr:to>
        <xdr:sp macro="" textlink="">
          <xdr:nvSpPr>
            <xdr:cNvPr id="3446" name="Drop Down 374" hidden="1">
              <a:extLst>
                <a:ext uri="{63B3BB69-23CF-44E3-9099-C40C66FF867C}">
                  <a14:compatExt spid="_x0000_s3446"/>
                </a:ext>
                <a:ext uri="{FF2B5EF4-FFF2-40B4-BE49-F238E27FC236}">
                  <a16:creationId xmlns:a16="http://schemas.microsoft.com/office/drawing/2014/main" id="{61FEF192-4392-A0C3-9C66-550C16EBCD0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17</xdr:row>
          <xdr:rowOff>15240</xdr:rowOff>
        </xdr:from>
        <xdr:to>
          <xdr:col>6</xdr:col>
          <xdr:colOff>0</xdr:colOff>
          <xdr:row>18</xdr:row>
          <xdr:rowOff>0</xdr:rowOff>
        </xdr:to>
        <xdr:sp macro="" textlink="">
          <xdr:nvSpPr>
            <xdr:cNvPr id="3447" name="Drop Down 375" hidden="1">
              <a:extLst>
                <a:ext uri="{63B3BB69-23CF-44E3-9099-C40C66FF867C}">
                  <a14:compatExt spid="_x0000_s3447"/>
                </a:ext>
                <a:ext uri="{FF2B5EF4-FFF2-40B4-BE49-F238E27FC236}">
                  <a16:creationId xmlns:a16="http://schemas.microsoft.com/office/drawing/2014/main" id="{6BFAB422-3B52-5D3F-9180-8058B341C5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18</xdr:row>
          <xdr:rowOff>15240</xdr:rowOff>
        </xdr:from>
        <xdr:to>
          <xdr:col>6</xdr:col>
          <xdr:colOff>0</xdr:colOff>
          <xdr:row>19</xdr:row>
          <xdr:rowOff>0</xdr:rowOff>
        </xdr:to>
        <xdr:sp macro="" textlink="">
          <xdr:nvSpPr>
            <xdr:cNvPr id="3448" name="Drop Down 376" hidden="1">
              <a:extLst>
                <a:ext uri="{63B3BB69-23CF-44E3-9099-C40C66FF867C}">
                  <a14:compatExt spid="_x0000_s3448"/>
                </a:ext>
                <a:ext uri="{FF2B5EF4-FFF2-40B4-BE49-F238E27FC236}">
                  <a16:creationId xmlns:a16="http://schemas.microsoft.com/office/drawing/2014/main" id="{950BA5A6-85A8-AD84-72E3-722423823C6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19</xdr:row>
          <xdr:rowOff>15240</xdr:rowOff>
        </xdr:from>
        <xdr:to>
          <xdr:col>6</xdr:col>
          <xdr:colOff>0</xdr:colOff>
          <xdr:row>20</xdr:row>
          <xdr:rowOff>0</xdr:rowOff>
        </xdr:to>
        <xdr:sp macro="" textlink="">
          <xdr:nvSpPr>
            <xdr:cNvPr id="3449" name="Drop Down 377" hidden="1">
              <a:extLst>
                <a:ext uri="{63B3BB69-23CF-44E3-9099-C40C66FF867C}">
                  <a14:compatExt spid="_x0000_s3449"/>
                </a:ext>
                <a:ext uri="{FF2B5EF4-FFF2-40B4-BE49-F238E27FC236}">
                  <a16:creationId xmlns:a16="http://schemas.microsoft.com/office/drawing/2014/main" id="{9028E71E-2352-09F0-969F-A7D1019B223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20</xdr:row>
          <xdr:rowOff>15240</xdr:rowOff>
        </xdr:from>
        <xdr:to>
          <xdr:col>6</xdr:col>
          <xdr:colOff>0</xdr:colOff>
          <xdr:row>21</xdr:row>
          <xdr:rowOff>0</xdr:rowOff>
        </xdr:to>
        <xdr:sp macro="" textlink="">
          <xdr:nvSpPr>
            <xdr:cNvPr id="3450" name="Drop Down 378" hidden="1">
              <a:extLst>
                <a:ext uri="{63B3BB69-23CF-44E3-9099-C40C66FF867C}">
                  <a14:compatExt spid="_x0000_s3450"/>
                </a:ext>
                <a:ext uri="{FF2B5EF4-FFF2-40B4-BE49-F238E27FC236}">
                  <a16:creationId xmlns:a16="http://schemas.microsoft.com/office/drawing/2014/main" id="{A440F98A-4180-DD75-6D07-07C24F632BD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21</xdr:row>
          <xdr:rowOff>15240</xdr:rowOff>
        </xdr:from>
        <xdr:to>
          <xdr:col>6</xdr:col>
          <xdr:colOff>0</xdr:colOff>
          <xdr:row>22</xdr:row>
          <xdr:rowOff>0</xdr:rowOff>
        </xdr:to>
        <xdr:sp macro="" textlink="">
          <xdr:nvSpPr>
            <xdr:cNvPr id="3451" name="Drop Down 379" hidden="1">
              <a:extLst>
                <a:ext uri="{63B3BB69-23CF-44E3-9099-C40C66FF867C}">
                  <a14:compatExt spid="_x0000_s3451"/>
                </a:ext>
                <a:ext uri="{FF2B5EF4-FFF2-40B4-BE49-F238E27FC236}">
                  <a16:creationId xmlns:a16="http://schemas.microsoft.com/office/drawing/2014/main" id="{7593BFD0-5AF6-17C6-1783-A088B34056E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22</xdr:row>
          <xdr:rowOff>15240</xdr:rowOff>
        </xdr:from>
        <xdr:to>
          <xdr:col>6</xdr:col>
          <xdr:colOff>0</xdr:colOff>
          <xdr:row>23</xdr:row>
          <xdr:rowOff>0</xdr:rowOff>
        </xdr:to>
        <xdr:sp macro="" textlink="">
          <xdr:nvSpPr>
            <xdr:cNvPr id="3452" name="Drop Down 380" hidden="1">
              <a:extLst>
                <a:ext uri="{63B3BB69-23CF-44E3-9099-C40C66FF867C}">
                  <a14:compatExt spid="_x0000_s3452"/>
                </a:ext>
                <a:ext uri="{FF2B5EF4-FFF2-40B4-BE49-F238E27FC236}">
                  <a16:creationId xmlns:a16="http://schemas.microsoft.com/office/drawing/2014/main" id="{081418A7-214F-0B60-A73C-EBE8F08FB60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23</xdr:row>
          <xdr:rowOff>15240</xdr:rowOff>
        </xdr:from>
        <xdr:to>
          <xdr:col>6</xdr:col>
          <xdr:colOff>0</xdr:colOff>
          <xdr:row>24</xdr:row>
          <xdr:rowOff>0</xdr:rowOff>
        </xdr:to>
        <xdr:sp macro="" textlink="">
          <xdr:nvSpPr>
            <xdr:cNvPr id="3453" name="Drop Down 381" hidden="1">
              <a:extLst>
                <a:ext uri="{63B3BB69-23CF-44E3-9099-C40C66FF867C}">
                  <a14:compatExt spid="_x0000_s3453"/>
                </a:ext>
                <a:ext uri="{FF2B5EF4-FFF2-40B4-BE49-F238E27FC236}">
                  <a16:creationId xmlns:a16="http://schemas.microsoft.com/office/drawing/2014/main" id="{122FA9AF-4D8F-16E7-91AF-B93B3E62073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24</xdr:row>
          <xdr:rowOff>15240</xdr:rowOff>
        </xdr:from>
        <xdr:to>
          <xdr:col>6</xdr:col>
          <xdr:colOff>0</xdr:colOff>
          <xdr:row>25</xdr:row>
          <xdr:rowOff>0</xdr:rowOff>
        </xdr:to>
        <xdr:sp macro="" textlink="">
          <xdr:nvSpPr>
            <xdr:cNvPr id="3454" name="Drop Down 382" hidden="1">
              <a:extLst>
                <a:ext uri="{63B3BB69-23CF-44E3-9099-C40C66FF867C}">
                  <a14:compatExt spid="_x0000_s3454"/>
                </a:ext>
                <a:ext uri="{FF2B5EF4-FFF2-40B4-BE49-F238E27FC236}">
                  <a16:creationId xmlns:a16="http://schemas.microsoft.com/office/drawing/2014/main" id="{2BE00309-032D-AEAE-5994-194683C3838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25</xdr:row>
          <xdr:rowOff>15240</xdr:rowOff>
        </xdr:from>
        <xdr:to>
          <xdr:col>6</xdr:col>
          <xdr:colOff>0</xdr:colOff>
          <xdr:row>26</xdr:row>
          <xdr:rowOff>0</xdr:rowOff>
        </xdr:to>
        <xdr:sp macro="" textlink="">
          <xdr:nvSpPr>
            <xdr:cNvPr id="3455" name="Drop Down 383" hidden="1">
              <a:extLst>
                <a:ext uri="{63B3BB69-23CF-44E3-9099-C40C66FF867C}">
                  <a14:compatExt spid="_x0000_s3455"/>
                </a:ext>
                <a:ext uri="{FF2B5EF4-FFF2-40B4-BE49-F238E27FC236}">
                  <a16:creationId xmlns:a16="http://schemas.microsoft.com/office/drawing/2014/main" id="{319FD290-E137-C75E-3DBC-C7EE42687F3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26</xdr:row>
          <xdr:rowOff>15240</xdr:rowOff>
        </xdr:from>
        <xdr:to>
          <xdr:col>6</xdr:col>
          <xdr:colOff>0</xdr:colOff>
          <xdr:row>27</xdr:row>
          <xdr:rowOff>0</xdr:rowOff>
        </xdr:to>
        <xdr:sp macro="" textlink="">
          <xdr:nvSpPr>
            <xdr:cNvPr id="3456" name="Drop Down 384" hidden="1">
              <a:extLst>
                <a:ext uri="{63B3BB69-23CF-44E3-9099-C40C66FF867C}">
                  <a14:compatExt spid="_x0000_s3456"/>
                </a:ext>
                <a:ext uri="{FF2B5EF4-FFF2-40B4-BE49-F238E27FC236}">
                  <a16:creationId xmlns:a16="http://schemas.microsoft.com/office/drawing/2014/main" id="{50F2BE5E-3313-6583-1545-3FACFC0890B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27</xdr:row>
          <xdr:rowOff>15240</xdr:rowOff>
        </xdr:from>
        <xdr:to>
          <xdr:col>6</xdr:col>
          <xdr:colOff>0</xdr:colOff>
          <xdr:row>28</xdr:row>
          <xdr:rowOff>0</xdr:rowOff>
        </xdr:to>
        <xdr:sp macro="" textlink="">
          <xdr:nvSpPr>
            <xdr:cNvPr id="3457" name="Drop Down 385" hidden="1">
              <a:extLst>
                <a:ext uri="{63B3BB69-23CF-44E3-9099-C40C66FF867C}">
                  <a14:compatExt spid="_x0000_s3457"/>
                </a:ext>
                <a:ext uri="{FF2B5EF4-FFF2-40B4-BE49-F238E27FC236}">
                  <a16:creationId xmlns:a16="http://schemas.microsoft.com/office/drawing/2014/main" id="{039F09E3-9AE4-AE94-764D-CB982356666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28</xdr:row>
          <xdr:rowOff>15240</xdr:rowOff>
        </xdr:from>
        <xdr:to>
          <xdr:col>6</xdr:col>
          <xdr:colOff>0</xdr:colOff>
          <xdr:row>29</xdr:row>
          <xdr:rowOff>0</xdr:rowOff>
        </xdr:to>
        <xdr:sp macro="" textlink="">
          <xdr:nvSpPr>
            <xdr:cNvPr id="3458" name="Drop Down 386" hidden="1">
              <a:extLst>
                <a:ext uri="{63B3BB69-23CF-44E3-9099-C40C66FF867C}">
                  <a14:compatExt spid="_x0000_s3458"/>
                </a:ext>
                <a:ext uri="{FF2B5EF4-FFF2-40B4-BE49-F238E27FC236}">
                  <a16:creationId xmlns:a16="http://schemas.microsoft.com/office/drawing/2014/main" id="{52A8B2E0-115B-35E7-934B-96B10461B82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4</xdr:row>
          <xdr:rowOff>15240</xdr:rowOff>
        </xdr:from>
        <xdr:to>
          <xdr:col>6</xdr:col>
          <xdr:colOff>0</xdr:colOff>
          <xdr:row>5</xdr:row>
          <xdr:rowOff>0</xdr:rowOff>
        </xdr:to>
        <xdr:sp macro="" textlink="">
          <xdr:nvSpPr>
            <xdr:cNvPr id="3459" name="Drop Down 387" hidden="1">
              <a:extLst>
                <a:ext uri="{63B3BB69-23CF-44E3-9099-C40C66FF867C}">
                  <a14:compatExt spid="_x0000_s3459"/>
                </a:ext>
                <a:ext uri="{FF2B5EF4-FFF2-40B4-BE49-F238E27FC236}">
                  <a16:creationId xmlns:a16="http://schemas.microsoft.com/office/drawing/2014/main" id="{84BCB283-72AB-6CCE-727C-5C3B329D74F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xdr:row>
          <xdr:rowOff>15240</xdr:rowOff>
        </xdr:from>
        <xdr:to>
          <xdr:col>6</xdr:col>
          <xdr:colOff>0</xdr:colOff>
          <xdr:row>6</xdr:row>
          <xdr:rowOff>0</xdr:rowOff>
        </xdr:to>
        <xdr:sp macro="" textlink="">
          <xdr:nvSpPr>
            <xdr:cNvPr id="3460" name="Drop Down 388" hidden="1">
              <a:extLst>
                <a:ext uri="{63B3BB69-23CF-44E3-9099-C40C66FF867C}">
                  <a14:compatExt spid="_x0000_s3460"/>
                </a:ext>
                <a:ext uri="{FF2B5EF4-FFF2-40B4-BE49-F238E27FC236}">
                  <a16:creationId xmlns:a16="http://schemas.microsoft.com/office/drawing/2014/main" id="{FF0F5523-7212-D7A1-2AC1-5CCAC80DC0B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xdr:row>
          <xdr:rowOff>15240</xdr:rowOff>
        </xdr:from>
        <xdr:to>
          <xdr:col>6</xdr:col>
          <xdr:colOff>0</xdr:colOff>
          <xdr:row>7</xdr:row>
          <xdr:rowOff>0</xdr:rowOff>
        </xdr:to>
        <xdr:sp macro="" textlink="">
          <xdr:nvSpPr>
            <xdr:cNvPr id="3461" name="Drop Down 389" hidden="1">
              <a:extLst>
                <a:ext uri="{63B3BB69-23CF-44E3-9099-C40C66FF867C}">
                  <a14:compatExt spid="_x0000_s3461"/>
                </a:ext>
                <a:ext uri="{FF2B5EF4-FFF2-40B4-BE49-F238E27FC236}">
                  <a16:creationId xmlns:a16="http://schemas.microsoft.com/office/drawing/2014/main" id="{4CF05C2C-A0CB-D03A-08DB-7894A7FF4AF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7</xdr:row>
          <xdr:rowOff>15240</xdr:rowOff>
        </xdr:from>
        <xdr:to>
          <xdr:col>6</xdr:col>
          <xdr:colOff>0</xdr:colOff>
          <xdr:row>8</xdr:row>
          <xdr:rowOff>0</xdr:rowOff>
        </xdr:to>
        <xdr:sp macro="" textlink="">
          <xdr:nvSpPr>
            <xdr:cNvPr id="3462" name="Drop Down 390" hidden="1">
              <a:extLst>
                <a:ext uri="{63B3BB69-23CF-44E3-9099-C40C66FF867C}">
                  <a14:compatExt spid="_x0000_s3462"/>
                </a:ext>
                <a:ext uri="{FF2B5EF4-FFF2-40B4-BE49-F238E27FC236}">
                  <a16:creationId xmlns:a16="http://schemas.microsoft.com/office/drawing/2014/main" id="{34B7FB83-5227-A372-D234-FA9838211FD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617220</xdr:colOff>
          <xdr:row>0</xdr:row>
          <xdr:rowOff>60960</xdr:rowOff>
        </xdr:from>
        <xdr:to>
          <xdr:col>11</xdr:col>
          <xdr:colOff>342900</xdr:colOff>
          <xdr:row>0</xdr:row>
          <xdr:rowOff>457200</xdr:rowOff>
        </xdr:to>
        <xdr:sp macro="" textlink="">
          <xdr:nvSpPr>
            <xdr:cNvPr id="3463" name="Button 391" hidden="1">
              <a:extLst>
                <a:ext uri="{63B3BB69-23CF-44E3-9099-C40C66FF867C}">
                  <a14:compatExt spid="_x0000_s3463"/>
                </a:ext>
                <a:ext uri="{FF2B5EF4-FFF2-40B4-BE49-F238E27FC236}">
                  <a16:creationId xmlns:a16="http://schemas.microsoft.com/office/drawing/2014/main" id="{547F112E-C5CF-F570-5A4B-0BF47A87FE6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dati</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1089660</xdr:colOff>
          <xdr:row>0</xdr:row>
          <xdr:rowOff>457200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1E9D14BD-4375-B0DF-1123-55EC49215C1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1249680</xdr:colOff>
          <xdr:row>0</xdr:row>
          <xdr:rowOff>60960</xdr:rowOff>
        </xdr:from>
        <xdr:to>
          <xdr:col>3</xdr:col>
          <xdr:colOff>68580</xdr:colOff>
          <xdr:row>0</xdr:row>
          <xdr:rowOff>457200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E0B9251F-1B67-16CD-E5C2-24FA19DECCB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Terreni agricoli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0</xdr:row>
          <xdr:rowOff>60960</xdr:rowOff>
        </xdr:from>
        <xdr:to>
          <xdr:col>6</xdr:col>
          <xdr:colOff>533400</xdr:colOff>
          <xdr:row>0</xdr:row>
          <xdr:rowOff>464820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42174F85-B7F4-1667-7AF4-1715901BED3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Abitazione principale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xdr:colOff>
          <xdr:row>0</xdr:row>
          <xdr:rowOff>60960</xdr:rowOff>
        </xdr:from>
        <xdr:to>
          <xdr:col>8</xdr:col>
          <xdr:colOff>586740</xdr:colOff>
          <xdr:row>0</xdr:row>
          <xdr:rowOff>464820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BB90CDA-9273-35C2-BBCB-376ACDA8152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Altri fabbricati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777240</xdr:colOff>
          <xdr:row>0</xdr:row>
          <xdr:rowOff>60960</xdr:rowOff>
        </xdr:from>
        <xdr:to>
          <xdr:col>10</xdr:col>
          <xdr:colOff>0</xdr:colOff>
          <xdr:row>0</xdr:row>
          <xdr:rowOff>464820</xdr:rowOff>
        </xdr:to>
        <xdr:sp macro="" textlink="">
          <xdr:nvSpPr>
            <xdr:cNvPr id="5125" name="Button 5" hidden="1">
              <a:extLst>
                <a:ext uri="{63B3BB69-23CF-44E3-9099-C40C66FF867C}">
                  <a14:compatExt spid="_x0000_s5125"/>
                </a:ext>
                <a:ext uri="{FF2B5EF4-FFF2-40B4-BE49-F238E27FC236}">
                  <a16:creationId xmlns:a16="http://schemas.microsoft.com/office/drawing/2014/main" id="{FD7B5B52-A85B-AE29-3AC0-D31BAAA0F1F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Visualizza riepilogo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0</xdr:row>
          <xdr:rowOff>60960</xdr:rowOff>
        </xdr:from>
        <xdr:to>
          <xdr:col>5</xdr:col>
          <xdr:colOff>335280</xdr:colOff>
          <xdr:row>0</xdr:row>
          <xdr:rowOff>464820</xdr:rowOff>
        </xdr:to>
        <xdr:sp macro="" textlink="">
          <xdr:nvSpPr>
            <xdr:cNvPr id="5126" name="Button 6" hidden="1">
              <a:extLst>
                <a:ext uri="{63B3BB69-23CF-44E3-9099-C40C66FF867C}">
                  <a14:compatExt spid="_x0000_s5126"/>
                </a:ext>
                <a:ext uri="{FF2B5EF4-FFF2-40B4-BE49-F238E27FC236}">
                  <a16:creationId xmlns:a16="http://schemas.microsoft.com/office/drawing/2014/main" id="{F8C9DB25-935C-2B6E-18EE-7BED1E96977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Fabbricati rurali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0</xdr:row>
          <xdr:rowOff>60960</xdr:rowOff>
        </xdr:from>
        <xdr:to>
          <xdr:col>16</xdr:col>
          <xdr:colOff>350520</xdr:colOff>
          <xdr:row>0</xdr:row>
          <xdr:rowOff>464820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7DDA6F2A-C3EA-069E-925A-05FB8312344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dati</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1211580</xdr:colOff>
          <xdr:row>0</xdr:row>
          <xdr:rowOff>83820</xdr:rowOff>
        </xdr:from>
        <xdr:to>
          <xdr:col>3</xdr:col>
          <xdr:colOff>106680</xdr:colOff>
          <xdr:row>0</xdr:row>
          <xdr:rowOff>480060</xdr:rowOff>
        </xdr:to>
        <xdr:sp macro="" textlink="">
          <xdr:nvSpPr>
            <xdr:cNvPr id="8199" name="Button 7" hidden="1">
              <a:extLst>
                <a:ext uri="{63B3BB69-23CF-44E3-9099-C40C66FF867C}">
                  <a14:compatExt spid="_x0000_s8199"/>
                </a:ext>
                <a:ext uri="{FF2B5EF4-FFF2-40B4-BE49-F238E27FC236}">
                  <a16:creationId xmlns:a16="http://schemas.microsoft.com/office/drawing/2014/main" id="{DB8D794E-2E87-4CEF-8BD9-ACE28B82282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358140</xdr:colOff>
          <xdr:row>0</xdr:row>
          <xdr:rowOff>76200</xdr:rowOff>
        </xdr:from>
        <xdr:to>
          <xdr:col>4</xdr:col>
          <xdr:colOff>891540</xdr:colOff>
          <xdr:row>0</xdr:row>
          <xdr:rowOff>472440</xdr:rowOff>
        </xdr:to>
        <xdr:sp macro="" textlink="">
          <xdr:nvSpPr>
            <xdr:cNvPr id="8200" name="Button 8" hidden="1">
              <a:extLst>
                <a:ext uri="{63B3BB69-23CF-44E3-9099-C40C66FF867C}">
                  <a14:compatExt spid="_x0000_s8200"/>
                </a:ext>
                <a:ext uri="{FF2B5EF4-FFF2-40B4-BE49-F238E27FC236}">
                  <a16:creationId xmlns:a16="http://schemas.microsoft.com/office/drawing/2014/main" id="{D28861B8-D375-98B6-C2C4-DD2511FF7F2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FF0000"/>
                  </a:solidFill>
                  <a:latin typeface="Arial"/>
                  <a:cs typeface="Arial"/>
                </a:rPr>
                <a:t>Azzera tutti i dati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149225</xdr:colOff>
      <xdr:row>1</xdr:row>
      <xdr:rowOff>79373</xdr:rowOff>
    </xdr:from>
    <xdr:to>
      <xdr:col>8</xdr:col>
      <xdr:colOff>474983</xdr:colOff>
      <xdr:row>35</xdr:row>
      <xdr:rowOff>87639</xdr:rowOff>
    </xdr:to>
    <xdr:sp macro="" textlink="">
      <xdr:nvSpPr>
        <xdr:cNvPr id="2" name="Text 3">
          <a:extLst>
            <a:ext uri="{FF2B5EF4-FFF2-40B4-BE49-F238E27FC236}">
              <a16:creationId xmlns:a16="http://schemas.microsoft.com/office/drawing/2014/main" id="{8111341B-AAE9-4FFC-006C-5E19A1F5CF15}"/>
            </a:ext>
          </a:extLst>
        </xdr:cNvPr>
        <xdr:cNvSpPr txBox="1">
          <a:spLocks noChangeArrowheads="1"/>
        </xdr:cNvSpPr>
      </xdr:nvSpPr>
      <xdr:spPr bwMode="auto">
        <a:xfrm>
          <a:off x="149225" y="574673"/>
          <a:ext cx="5464186" cy="6276977"/>
        </a:xfrm>
        <a:prstGeom prst="rect">
          <a:avLst/>
        </a:prstGeom>
        <a:solidFill>
          <a:schemeClr val="tx2">
            <a:lumMod val="20000"/>
            <a:lumOff val="80000"/>
          </a:schemeClr>
        </a:solidFill>
        <a:ln>
          <a:headEnd/>
          <a:tailEnd/>
        </a:ln>
      </xdr:spPr>
      <xdr:style>
        <a:lnRef idx="1">
          <a:schemeClr val="accent1"/>
        </a:lnRef>
        <a:fillRef idx="2">
          <a:schemeClr val="accent1"/>
        </a:fillRef>
        <a:effectRef idx="1">
          <a:schemeClr val="accent1"/>
        </a:effectRef>
        <a:fontRef idx="minor">
          <a:schemeClr val="dk1"/>
        </a:fontRef>
      </xdr:style>
      <xdr:txBody>
        <a:bodyPr vertOverflow="clip" wrap="square" lIns="27432" tIns="22860" rIns="0" bIns="0" anchor="t" upright="1"/>
        <a:lstStyle/>
        <a:p>
          <a:pPr algn="l" rtl="1">
            <a:defRPr sz="1000"/>
          </a:pPr>
          <a:r>
            <a:rPr lang="it-IT" sz="1000" b="1" i="0" u="sng" strike="noStrike">
              <a:solidFill>
                <a:srgbClr val="000000"/>
              </a:solidFill>
              <a:latin typeface="Arial" pitchFamily="34" charset="0"/>
              <a:cs typeface="Arial" pitchFamily="34" charset="0"/>
            </a:rPr>
            <a:t>ISTRUZIONI</a:t>
          </a:r>
        </a:p>
        <a:p>
          <a:pPr algn="l" rtl="1">
            <a:defRPr sz="1000"/>
          </a:pPr>
          <a:endParaRPr lang="it-IT" sz="1000" b="1" i="0" u="sng" strike="noStrike">
            <a:solidFill>
              <a:srgbClr val="000000"/>
            </a:solidFill>
            <a:latin typeface="Arial" pitchFamily="34" charset="0"/>
            <a:cs typeface="Arial" pitchFamily="34" charset="0"/>
          </a:endParaRPr>
        </a:p>
        <a:p>
          <a:pPr algn="l" rtl="1">
            <a:defRPr sz="1000"/>
          </a:pPr>
          <a:r>
            <a:rPr lang="it-IT" sz="1000" b="1" i="0" u="sng" strike="noStrike">
              <a:solidFill>
                <a:srgbClr val="000000"/>
              </a:solidFill>
              <a:latin typeface="Arial" pitchFamily="34" charset="0"/>
              <a:cs typeface="Arial" pitchFamily="34" charset="0"/>
            </a:rPr>
            <a:t>CARATTERISTICHE GENERALI</a:t>
          </a:r>
        </a:p>
        <a:p>
          <a:pPr algn="l" rtl="1">
            <a:defRPr sz="1000"/>
          </a:pPr>
          <a:r>
            <a:rPr lang="it-IT" sz="1000" b="0" i="0" strike="noStrike">
              <a:solidFill>
                <a:srgbClr val="000000"/>
              </a:solidFill>
              <a:latin typeface="Arial" pitchFamily="34" charset="0"/>
              <a:cs typeface="Arial" pitchFamily="34" charset="0"/>
            </a:rPr>
            <a:t>Il programma consente il calcolo dell'Imposta municipale</a:t>
          </a:r>
          <a:r>
            <a:rPr lang="it-IT" sz="1000" b="0" i="0" strike="noStrike" baseline="0">
              <a:solidFill>
                <a:srgbClr val="000000"/>
              </a:solidFill>
              <a:latin typeface="Arial" pitchFamily="34" charset="0"/>
              <a:cs typeface="Arial" pitchFamily="34" charset="0"/>
            </a:rPr>
            <a:t> propria (c.d. IMU) introdotta dall'art. 8 e 9 del D.Lgs. 14 marzo 2011, n. 23 e dall'art. 13 del D.L. 6 dicembre 2011, n. 201, così come  convertito in Legge.</a:t>
          </a:r>
          <a:endParaRPr lang="it-IT" sz="1000" b="0" i="0" strike="noStrike">
            <a:solidFill>
              <a:srgbClr val="000000"/>
            </a:solidFill>
            <a:latin typeface="Arial" pitchFamily="34" charset="0"/>
            <a:ea typeface="+mn-ea"/>
            <a:cs typeface="Arial" pitchFamily="34" charset="0"/>
          </a:endParaRPr>
        </a:p>
        <a:p>
          <a:pPr lvl="0"/>
          <a:endParaRPr lang="it-IT" sz="1000" baseline="0">
            <a:solidFill>
              <a:schemeClr val="dk1"/>
            </a:solidFill>
            <a:latin typeface="Arial" pitchFamily="34" charset="0"/>
            <a:ea typeface="+mn-ea"/>
            <a:cs typeface="Arial" pitchFamily="34" charset="0"/>
          </a:endParaRPr>
        </a:p>
        <a:p>
          <a:pPr lvl="0"/>
          <a:r>
            <a:rPr lang="it-IT" sz="1000">
              <a:solidFill>
                <a:schemeClr val="dk1"/>
              </a:solidFill>
              <a:latin typeface="Arial" pitchFamily="34" charset="0"/>
              <a:ea typeface="+mn-ea"/>
              <a:cs typeface="Arial" pitchFamily="34" charset="0"/>
            </a:rPr>
            <a:t>In particolare,</a:t>
          </a:r>
          <a:r>
            <a:rPr lang="it-IT" sz="1000" baseline="0">
              <a:solidFill>
                <a:schemeClr val="dk1"/>
              </a:solidFill>
              <a:latin typeface="Arial" pitchFamily="34" charset="0"/>
              <a:ea typeface="+mn-ea"/>
              <a:cs typeface="Arial" pitchFamily="34" charset="0"/>
            </a:rPr>
            <a:t> il programma permette il calcolo dell'IMU per le seguenti tipologie di immobili:</a:t>
          </a:r>
        </a:p>
        <a:p>
          <a:pPr lvl="0"/>
          <a:r>
            <a:rPr lang="it-IT" sz="1000" baseline="0">
              <a:solidFill>
                <a:schemeClr val="dk1"/>
              </a:solidFill>
              <a:latin typeface="Arial" pitchFamily="34" charset="0"/>
              <a:ea typeface="+mn-ea"/>
              <a:cs typeface="Arial" pitchFamily="34" charset="0"/>
            </a:rPr>
            <a:t>- terreni agricoli (massimo 25);</a:t>
          </a:r>
        </a:p>
        <a:p>
          <a:pPr lvl="0"/>
          <a:r>
            <a:rPr lang="it-IT" sz="1000" baseline="0">
              <a:solidFill>
                <a:schemeClr val="dk1"/>
              </a:solidFill>
              <a:latin typeface="Arial" pitchFamily="34" charset="0"/>
              <a:ea typeface="+mn-ea"/>
              <a:cs typeface="Arial" pitchFamily="34" charset="0"/>
            </a:rPr>
            <a:t>- fabbricati rurali (massimo 10);</a:t>
          </a:r>
        </a:p>
        <a:p>
          <a:pPr lvl="0"/>
          <a:r>
            <a:rPr lang="it-IT" sz="1000" baseline="0">
              <a:solidFill>
                <a:schemeClr val="dk1"/>
              </a:solidFill>
              <a:latin typeface="Arial" pitchFamily="34" charset="0"/>
              <a:ea typeface="+mn-ea"/>
              <a:cs typeface="Arial" pitchFamily="34" charset="0"/>
            </a:rPr>
            <a:t>- abitazione principale e relative pertinenze;</a:t>
          </a:r>
        </a:p>
        <a:p>
          <a:pPr lvl="0"/>
          <a:r>
            <a:rPr lang="it-IT" sz="1000" baseline="0">
              <a:solidFill>
                <a:schemeClr val="dk1"/>
              </a:solidFill>
              <a:latin typeface="Arial" pitchFamily="34" charset="0"/>
              <a:ea typeface="+mn-ea"/>
              <a:cs typeface="Arial" pitchFamily="34" charset="0"/>
            </a:rPr>
            <a:t>- altri fabbricati (massimo 25);</a:t>
          </a:r>
        </a:p>
        <a:p>
          <a:pPr lvl="0"/>
          <a:r>
            <a:rPr lang="it-IT" sz="1000" baseline="0">
              <a:solidFill>
                <a:schemeClr val="dk1"/>
              </a:solidFill>
              <a:latin typeface="Arial" pitchFamily="34" charset="0"/>
              <a:ea typeface="+mn-ea"/>
              <a:cs typeface="Arial" pitchFamily="34" charset="0"/>
            </a:rPr>
            <a:t>- aree fabbricabili (massimo 15).</a:t>
          </a:r>
        </a:p>
        <a:p>
          <a:pPr lvl="0"/>
          <a:endParaRPr lang="it-IT" sz="1000" b="1" baseline="0">
            <a:solidFill>
              <a:schemeClr val="dk1"/>
            </a:solidFill>
            <a:latin typeface="Arial" pitchFamily="34" charset="0"/>
            <a:ea typeface="+mn-ea"/>
            <a:cs typeface="Arial" pitchFamily="34" charset="0"/>
          </a:endParaRPr>
        </a:p>
        <a:p>
          <a:r>
            <a:rPr lang="it-IT" sz="1000" i="0">
              <a:solidFill>
                <a:schemeClr val="dk1"/>
              </a:solidFill>
              <a:effectLst/>
              <a:latin typeface="Arial" pitchFamily="34" charset="0"/>
              <a:ea typeface="+mn-ea"/>
              <a:cs typeface="Arial" pitchFamily="34" charset="0"/>
            </a:rPr>
            <a:t>Inoltre, per semplificare la compilazione del modello F24, in un apposito prospetto vengono indicati, con i rispettivi codici tributo, gli importi di competenza comunale e statale.</a:t>
          </a:r>
        </a:p>
        <a:p>
          <a:pPr lvl="0"/>
          <a:endParaRPr lang="it-IT" sz="1000">
            <a:solidFill>
              <a:schemeClr val="dk1"/>
            </a:solidFill>
            <a:latin typeface="Arial" pitchFamily="34" charset="0"/>
            <a:ea typeface="+mn-ea"/>
            <a:cs typeface="Arial" pitchFamily="34" charset="0"/>
          </a:endParaRPr>
        </a:p>
        <a:p>
          <a:pPr algn="l" rtl="1">
            <a:defRPr sz="1000"/>
          </a:pPr>
          <a:r>
            <a:rPr lang="it-IT" sz="1000" b="1" i="0" u="sng" strike="noStrike">
              <a:solidFill>
                <a:srgbClr val="000000"/>
              </a:solidFill>
              <a:latin typeface="Arial" pitchFamily="34" charset="0"/>
              <a:cs typeface="Arial" pitchFamily="34" charset="0"/>
            </a:rPr>
            <a:t>UTILIZZO</a:t>
          </a:r>
          <a:r>
            <a:rPr lang="it-IT" sz="1000" b="1" i="0" u="sng" strike="noStrike" baseline="0">
              <a:solidFill>
                <a:srgbClr val="000000"/>
              </a:solidFill>
              <a:latin typeface="Arial" pitchFamily="34" charset="0"/>
              <a:cs typeface="Arial" pitchFamily="34" charset="0"/>
            </a:rPr>
            <a:t> DEL SOFTWARE</a:t>
          </a:r>
          <a:endParaRPr lang="it-IT" sz="1000" b="1" i="0" u="sng" strike="noStrike">
            <a:solidFill>
              <a:srgbClr val="000000"/>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a:solidFill>
                <a:srgbClr val="000000"/>
              </a:solidFill>
              <a:latin typeface="Arial" pitchFamily="34" charset="0"/>
              <a:cs typeface="Arial" pitchFamily="34" charset="0"/>
            </a:rPr>
            <a:t>L'utilizzo del </a:t>
          </a:r>
          <a:r>
            <a:rPr lang="it-IT" sz="1000" b="0" i="0" strike="noStrike">
              <a:solidFill>
                <a:srgbClr val="000000"/>
              </a:solidFill>
              <a:latin typeface="Arial" pitchFamily="34" charset="0"/>
              <a:ea typeface="+mn-ea"/>
              <a:cs typeface="Arial" pitchFamily="34" charset="0"/>
            </a:rPr>
            <a:t>programma è semplice e immediato in quanto i calcoli vengono effettuati in automatico dopo l'inserimento dei dati richiesti che, oltre alle aliquote deliberate dai comuni, sono sostanzialmente:</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a:solidFill>
                <a:srgbClr val="000000"/>
              </a:solidFill>
              <a:latin typeface="Arial" pitchFamily="34" charset="0"/>
              <a:ea typeface="+mn-ea"/>
              <a:cs typeface="Arial" pitchFamily="34" charset="0"/>
            </a:rPr>
            <a:t>- </a:t>
          </a:r>
          <a:r>
            <a:rPr lang="it-IT" sz="1000" b="0" i="0" baseline="0">
              <a:solidFill>
                <a:schemeClr val="dk1"/>
              </a:solidFill>
              <a:latin typeface="Arial" pitchFamily="34" charset="0"/>
              <a:ea typeface="+mn-ea"/>
              <a:cs typeface="Arial" pitchFamily="34" charset="0"/>
            </a:rPr>
            <a:t>per i terreni agricoli: </a:t>
          </a:r>
          <a:r>
            <a:rPr lang="it-IT" sz="1000" b="0" i="0" strike="noStrike">
              <a:solidFill>
                <a:srgbClr val="000000"/>
              </a:solidFill>
              <a:latin typeface="Arial" pitchFamily="34" charset="0"/>
              <a:ea typeface="+mn-ea"/>
              <a:cs typeface="Arial" pitchFamily="34" charset="0"/>
            </a:rPr>
            <a:t>il</a:t>
          </a:r>
          <a:r>
            <a:rPr lang="it-IT" sz="1000" b="0" i="0" strike="noStrike" baseline="0">
              <a:solidFill>
                <a:srgbClr val="000000"/>
              </a:solidFill>
              <a:latin typeface="Arial" pitchFamily="34" charset="0"/>
              <a:ea typeface="+mn-ea"/>
              <a:cs typeface="Arial" pitchFamily="34" charset="0"/>
            </a:rPr>
            <a:t> reddito dominicale, senza alcuna rivalutazione;</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baseline="0">
              <a:solidFill>
                <a:srgbClr val="000000"/>
              </a:solidFill>
              <a:latin typeface="Arial" pitchFamily="34" charset="0"/>
              <a:ea typeface="+mn-ea"/>
              <a:cs typeface="Arial" pitchFamily="34" charset="0"/>
            </a:rPr>
            <a:t>- </a:t>
          </a:r>
          <a:r>
            <a:rPr lang="it-IT" sz="1000" b="0" i="0">
              <a:solidFill>
                <a:schemeClr val="dk1"/>
              </a:solidFill>
              <a:latin typeface="Arial" pitchFamily="34" charset="0"/>
              <a:ea typeface="+mn-ea"/>
              <a:cs typeface="Arial" pitchFamily="34" charset="0"/>
            </a:rPr>
            <a:t>per</a:t>
          </a:r>
          <a:r>
            <a:rPr lang="it-IT" sz="1000" b="0" i="0" baseline="0">
              <a:solidFill>
                <a:schemeClr val="dk1"/>
              </a:solidFill>
              <a:latin typeface="Arial" pitchFamily="34" charset="0"/>
              <a:ea typeface="+mn-ea"/>
              <a:cs typeface="Arial" pitchFamily="34" charset="0"/>
            </a:rPr>
            <a:t> gli </a:t>
          </a:r>
          <a:r>
            <a:rPr lang="it-IT" sz="1000" b="0" i="0">
              <a:solidFill>
                <a:schemeClr val="dk1"/>
              </a:solidFill>
              <a:latin typeface="Arial" pitchFamily="34" charset="0"/>
              <a:ea typeface="+mn-ea"/>
              <a:cs typeface="Arial" pitchFamily="34" charset="0"/>
            </a:rPr>
            <a:t>immobili: </a:t>
          </a:r>
          <a:r>
            <a:rPr lang="it-IT" sz="1000" b="0" i="0" strike="noStrike" baseline="0">
              <a:solidFill>
                <a:srgbClr val="000000"/>
              </a:solidFill>
              <a:latin typeface="Arial" pitchFamily="34" charset="0"/>
              <a:ea typeface="+mn-ea"/>
              <a:cs typeface="Arial" pitchFamily="34" charset="0"/>
            </a:rPr>
            <a:t>l</a:t>
          </a:r>
          <a:r>
            <a:rPr lang="it-IT" sz="1000" b="0" i="0" strike="noStrike">
              <a:solidFill>
                <a:srgbClr val="000000"/>
              </a:solidFill>
              <a:latin typeface="Arial" pitchFamily="34" charset="0"/>
              <a:ea typeface="+mn-ea"/>
              <a:cs typeface="Arial" pitchFamily="34" charset="0"/>
            </a:rPr>
            <a:t>e rendite catastali,</a:t>
          </a:r>
          <a:r>
            <a:rPr lang="it-IT" sz="1000" b="0" i="0" strike="noStrike" baseline="0">
              <a:solidFill>
                <a:srgbClr val="000000"/>
              </a:solidFill>
              <a:latin typeface="Arial" pitchFamily="34" charset="0"/>
              <a:ea typeface="+mn-ea"/>
              <a:cs typeface="Arial" pitchFamily="34" charset="0"/>
            </a:rPr>
            <a:t> </a:t>
          </a:r>
          <a:r>
            <a:rPr lang="it-IT" sz="1000" b="0" i="0" strike="noStrike">
              <a:solidFill>
                <a:srgbClr val="000000"/>
              </a:solidFill>
              <a:latin typeface="Arial" pitchFamily="34" charset="0"/>
              <a:ea typeface="+mn-ea"/>
              <a:cs typeface="Arial" pitchFamily="34" charset="0"/>
            </a:rPr>
            <a:t>senza alcuna rivalutazione;</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a:solidFill>
                <a:srgbClr val="000000"/>
              </a:solidFill>
              <a:latin typeface="Arial" pitchFamily="34" charset="0"/>
              <a:ea typeface="+mn-ea"/>
              <a:cs typeface="Arial" pitchFamily="34" charset="0"/>
            </a:rPr>
            <a:t>- </a:t>
          </a:r>
          <a:r>
            <a:rPr lang="it-IT" sz="1000" b="0" i="0">
              <a:solidFill>
                <a:schemeClr val="dk1"/>
              </a:solidFill>
              <a:latin typeface="Arial" pitchFamily="34" charset="0"/>
              <a:ea typeface="+mn-ea"/>
              <a:cs typeface="Arial" pitchFamily="34" charset="0"/>
            </a:rPr>
            <a:t>per le aree fabbricabili: </a:t>
          </a:r>
          <a:r>
            <a:rPr lang="it-IT" sz="1000" b="0" i="0" strike="noStrike">
              <a:solidFill>
                <a:srgbClr val="000000"/>
              </a:solidFill>
              <a:latin typeface="Arial" pitchFamily="34" charset="0"/>
              <a:ea typeface="+mn-ea"/>
              <a:cs typeface="Arial" pitchFamily="34" charset="0"/>
            </a:rPr>
            <a:t>il valore venale;</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baseline="0">
              <a:solidFill>
                <a:schemeClr val="dk1"/>
              </a:solidFill>
              <a:latin typeface="Arial" pitchFamily="34" charset="0"/>
              <a:ea typeface="+mn-ea"/>
              <a:cs typeface="Arial" pitchFamily="34" charset="0"/>
            </a:rPr>
            <a:t>- per tutte le tipologie di immobili: </a:t>
          </a:r>
          <a:r>
            <a:rPr lang="it-IT" sz="1000" b="0" i="0" strike="noStrike">
              <a:solidFill>
                <a:srgbClr val="000000"/>
              </a:solidFill>
              <a:latin typeface="Arial" pitchFamily="34" charset="0"/>
              <a:ea typeface="+mn-ea"/>
              <a:cs typeface="Arial" pitchFamily="34" charset="0"/>
            </a:rPr>
            <a:t>le percentuali di possesso e il periodo</a:t>
          </a:r>
          <a:r>
            <a:rPr lang="it-IT" sz="1000" b="0" i="0" strike="noStrike" baseline="0">
              <a:solidFill>
                <a:srgbClr val="000000"/>
              </a:solidFill>
              <a:latin typeface="Arial" pitchFamily="34" charset="0"/>
              <a:ea typeface="+mn-ea"/>
              <a:cs typeface="Arial" pitchFamily="34" charset="0"/>
            </a:rPr>
            <a:t> di possesso (in mesi).</a:t>
          </a:r>
          <a:endParaRPr lang="it-IT" sz="1000" b="0" i="0" strike="noStrike">
            <a:solidFill>
              <a:srgbClr val="000000"/>
            </a:solidFill>
            <a:latin typeface="Arial" pitchFamily="34" charset="0"/>
            <a:ea typeface="+mn-ea"/>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1" baseline="0">
              <a:solidFill>
                <a:schemeClr val="dk1"/>
              </a:solidFill>
              <a:latin typeface="Arial" pitchFamily="34" charset="0"/>
              <a:ea typeface="+mn-ea"/>
              <a:cs typeface="Arial" pitchFamily="34" charset="0"/>
            </a:rPr>
            <a:t>Attenzione: tutti i valori catastali vanno inseriti senza alcuna rivalutazione.</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a:solidFill>
                <a:srgbClr val="000000"/>
              </a:solidFill>
              <a:latin typeface="Arial" pitchFamily="34" charset="0"/>
              <a:ea typeface="+mn-ea"/>
              <a:cs typeface="Arial" pitchFamily="34" charset="0"/>
            </a:rPr>
            <a:t>I campi di immissione dati sono contraddistinti dal colore </a:t>
          </a:r>
          <a:r>
            <a:rPr lang="it-IT" sz="1000" b="1" i="0" strike="noStrike">
              <a:solidFill>
                <a:srgbClr val="000000"/>
              </a:solidFill>
              <a:latin typeface="Arial" pitchFamily="34" charset="0"/>
              <a:ea typeface="+mn-ea"/>
              <a:cs typeface="Arial" pitchFamily="34" charset="0"/>
            </a:rPr>
            <a:t>BIANCO</a:t>
          </a:r>
          <a:r>
            <a:rPr lang="it-IT" sz="1000" b="0" i="0" strike="noStrike">
              <a:solidFill>
                <a:srgbClr val="000000"/>
              </a:solidFill>
              <a:latin typeface="Arial" pitchFamily="34" charset="0"/>
              <a:ea typeface="+mn-ea"/>
              <a:cs typeface="Arial" pitchFamily="34" charset="0"/>
            </a:rPr>
            <a:t> mentre tutte le celle colorate sono campi contenenti calcoli automatici, non modificabili.</a:t>
          </a:r>
        </a:p>
        <a:p>
          <a:pPr marL="0" marR="0" indent="0" algn="l" defTabSz="914400" rtl="1" eaLnBrk="1" fontAlgn="auto" latinLnBrk="0" hangingPunct="1">
            <a:lnSpc>
              <a:spcPct val="100000"/>
            </a:lnSpc>
            <a:spcBef>
              <a:spcPts val="0"/>
            </a:spcBef>
            <a:spcAft>
              <a:spcPts val="0"/>
            </a:spcAft>
            <a:buClrTx/>
            <a:buSzTx/>
            <a:buFontTx/>
            <a:buNone/>
            <a:tabLst/>
            <a:defRPr sz="1000"/>
          </a:pPr>
          <a:r>
            <a:rPr lang="it-IT" sz="1000" b="0" i="0" strike="noStrike">
              <a:solidFill>
                <a:srgbClr val="000000"/>
              </a:solidFill>
              <a:latin typeface="Arial" pitchFamily="34" charset="0"/>
              <a:cs typeface="Arial" pitchFamily="34" charset="0"/>
            </a:rPr>
            <a:t>Si ricorda che, per un corretto funzionamento del programma è necessario abilitare l'utilizzo delle macro. Inoltre, i</a:t>
          </a:r>
          <a:r>
            <a:rPr lang="it-IT" sz="1000" baseline="0">
              <a:solidFill>
                <a:schemeClr val="dk1"/>
              </a:solidFill>
              <a:effectLst/>
              <a:latin typeface="Arial" pitchFamily="34" charset="0"/>
              <a:ea typeface="+mn-ea"/>
              <a:cs typeface="Arial" pitchFamily="34" charset="0"/>
            </a:rPr>
            <a:t>l software è stato sviluppato per le versioni di Excel 2007 o superiori. In caso di utilizzo di una versione inferiore di Excel, anche se i calcoli vengono effettuati correttamente, è possibile che qualche elemento grafico non venga visualizzato in maniera precisa.</a:t>
          </a:r>
          <a:endParaRPr lang="it-IT" sz="1000" b="0" i="0" strike="noStrike" baseline="0">
            <a:solidFill>
              <a:srgbClr val="000000"/>
            </a:solidFill>
            <a:latin typeface="Arial" pitchFamily="34" charset="0"/>
            <a:cs typeface="Arial" pitchFamily="34" charset="0"/>
          </a:endParaRPr>
        </a:p>
        <a:p>
          <a:pPr algn="l" rtl="1">
            <a:defRPr sz="1000"/>
          </a:pPr>
          <a:r>
            <a:rPr lang="it-IT" sz="1000" b="0" i="0" strike="noStrike">
              <a:solidFill>
                <a:srgbClr val="000000"/>
              </a:solidFill>
              <a:latin typeface="Arial" pitchFamily="34" charset="0"/>
              <a:cs typeface="Arial" pitchFamily="34" charset="0"/>
            </a:rPr>
            <a:t> </a:t>
          </a:r>
        </a:p>
        <a:p>
          <a:pPr algn="l" rtl="1"/>
          <a:r>
            <a:rPr lang="it-IT" sz="1000" b="1" i="0" u="sng">
              <a:solidFill>
                <a:srgbClr val="FF0000"/>
              </a:solidFill>
              <a:effectLst/>
              <a:latin typeface="Arial" pitchFamily="34" charset="0"/>
              <a:ea typeface="+mn-ea"/>
              <a:cs typeface="Arial" pitchFamily="34" charset="0"/>
            </a:rPr>
            <a:t>AVVERTENZE PER L'UTILIZZO</a:t>
          </a:r>
          <a:r>
            <a:rPr lang="it-IT" sz="1000" b="1" i="0" u="sng" baseline="0">
              <a:solidFill>
                <a:srgbClr val="FF0000"/>
              </a:solidFill>
              <a:effectLst/>
              <a:latin typeface="Arial" pitchFamily="34" charset="0"/>
              <a:ea typeface="+mn-ea"/>
              <a:cs typeface="Arial" pitchFamily="34" charset="0"/>
            </a:rPr>
            <a:t> DEL SOFTWARE</a:t>
          </a:r>
          <a:endParaRPr lang="it-IT" sz="1000">
            <a:solidFill>
              <a:srgbClr val="FF0000"/>
            </a:solidFill>
            <a:effectLst/>
            <a:latin typeface="Arial" pitchFamily="34" charset="0"/>
            <a:cs typeface="Arial" pitchFamily="34" charset="0"/>
          </a:endParaRPr>
        </a:p>
        <a:p>
          <a:r>
            <a:rPr lang="it-IT" sz="1000" b="1" baseline="0">
              <a:solidFill>
                <a:srgbClr val="FF0000"/>
              </a:solidFill>
              <a:effectLst/>
              <a:latin typeface="Arial" pitchFamily="34" charset="0"/>
              <a:ea typeface="+mn-ea"/>
              <a:cs typeface="Arial" pitchFamily="34" charset="0"/>
            </a:rPr>
            <a:t>Il software rappresenta una semplice utility  il cui  scopo è quello di simulare l'impatto della tassazione sugli immobili. </a:t>
          </a:r>
        </a:p>
        <a:p>
          <a:r>
            <a:rPr lang="it-IT" sz="1000" b="1" baseline="0">
              <a:solidFill>
                <a:srgbClr val="FF0000"/>
              </a:solidFill>
              <a:effectLst/>
              <a:latin typeface="Arial" pitchFamily="34" charset="0"/>
              <a:ea typeface="+mn-ea"/>
              <a:cs typeface="Arial" pitchFamily="34" charset="0"/>
            </a:rPr>
            <a:t>Tra l'altro, nei calcoli non vengono prese in considerazione tutte le varie ipotesi che, nella realtà, possono verificarsi.</a:t>
          </a:r>
        </a:p>
        <a:p>
          <a:r>
            <a:rPr lang="it-IT" sz="1000" b="1" baseline="0">
              <a:solidFill>
                <a:srgbClr val="FF0000"/>
              </a:solidFill>
              <a:effectLst/>
              <a:latin typeface="Arial" pitchFamily="34" charset="0"/>
              <a:ea typeface="+mn-ea"/>
              <a:cs typeface="Arial" pitchFamily="34" charset="0"/>
            </a:rPr>
            <a:t>Nell'uso del software, si raccomanda, pertanto, la verifica dei dati inseriti (e calcolati) prima di effettuare il versamento dell'imposta,  ritenendosi esonerati, l'Autore e l'Editore, da ogni responsabilità in merito.</a:t>
          </a:r>
          <a:endParaRPr lang="it-IT" sz="1000" b="1">
            <a:solidFill>
              <a:srgbClr val="FF0000"/>
            </a:solidFill>
            <a:effectLst/>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3</xdr:col>
          <xdr:colOff>205740</xdr:colOff>
          <xdr:row>0</xdr:row>
          <xdr:rowOff>60960</xdr:rowOff>
        </xdr:from>
        <xdr:to>
          <xdr:col>5</xdr:col>
          <xdr:colOff>53340</xdr:colOff>
          <xdr:row>0</xdr:row>
          <xdr:rowOff>457200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A0240FC3-400B-B447-9D76-E2C40EBA5CF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149225</xdr:colOff>
      <xdr:row>1</xdr:row>
      <xdr:rowOff>79372</xdr:rowOff>
    </xdr:from>
    <xdr:to>
      <xdr:col>8</xdr:col>
      <xdr:colOff>474983</xdr:colOff>
      <xdr:row>53</xdr:row>
      <xdr:rowOff>60325</xdr:rowOff>
    </xdr:to>
    <xdr:sp macro="" textlink="">
      <xdr:nvSpPr>
        <xdr:cNvPr id="2" name="Text 3">
          <a:extLst>
            <a:ext uri="{FF2B5EF4-FFF2-40B4-BE49-F238E27FC236}">
              <a16:creationId xmlns:a16="http://schemas.microsoft.com/office/drawing/2014/main" id="{9F341DFD-4A0B-6B46-6AAE-A88EF08AB424}"/>
            </a:ext>
          </a:extLst>
        </xdr:cNvPr>
        <xdr:cNvSpPr txBox="1">
          <a:spLocks noChangeArrowheads="1"/>
        </xdr:cNvSpPr>
      </xdr:nvSpPr>
      <xdr:spPr bwMode="auto">
        <a:xfrm>
          <a:off x="142875" y="581022"/>
          <a:ext cx="5191125" cy="9886953"/>
        </a:xfrm>
        <a:prstGeom prst="rect">
          <a:avLst/>
        </a:prstGeom>
        <a:solidFill>
          <a:schemeClr val="tx2">
            <a:lumMod val="20000"/>
            <a:lumOff val="80000"/>
          </a:schemeClr>
        </a:solidFill>
        <a:ln>
          <a:headEnd/>
          <a:tailEnd/>
        </a:ln>
      </xdr:spPr>
      <xdr:style>
        <a:lnRef idx="1">
          <a:schemeClr val="accent1"/>
        </a:lnRef>
        <a:fillRef idx="2">
          <a:schemeClr val="accent1"/>
        </a:fillRef>
        <a:effectRef idx="1">
          <a:schemeClr val="accent1"/>
        </a:effectRef>
        <a:fontRef idx="minor">
          <a:schemeClr val="dk1"/>
        </a:fontRef>
      </xdr:style>
      <xdr:txBody>
        <a:bodyPr vertOverflow="clip" wrap="square" lIns="27432" tIns="22860" rIns="0" bIns="0" anchor="t" upright="1"/>
        <a:lstStyle/>
        <a:p>
          <a:r>
            <a:rPr lang="it-IT" sz="1100" b="1">
              <a:solidFill>
                <a:schemeClr val="dk1"/>
              </a:solidFill>
              <a:effectLst/>
              <a:latin typeface="+mn-lt"/>
              <a:ea typeface="+mn-ea"/>
              <a:cs typeface="+mn-cs"/>
            </a:rPr>
            <a:t>IMU – NOVITA’ 2016</a:t>
          </a:r>
          <a:endParaRPr lang="it-IT" sz="1100">
            <a:solidFill>
              <a:schemeClr val="dk1"/>
            </a:solidFill>
            <a:effectLst/>
            <a:latin typeface="+mn-lt"/>
            <a:ea typeface="+mn-ea"/>
            <a:cs typeface="+mn-cs"/>
          </a:endParaRPr>
        </a:p>
        <a:p>
          <a:r>
            <a:rPr lang="it-IT" sz="1100">
              <a:solidFill>
                <a:schemeClr val="dk1"/>
              </a:solidFill>
              <a:effectLst/>
              <a:latin typeface="+mn-lt"/>
              <a:ea typeface="+mn-ea"/>
              <a:cs typeface="+mn-cs"/>
            </a:rPr>
            <a:t>La legge 28 dicembre 2015, n. 208 (Legge di stabilità 2016), con decorrenza 1° gennaio 2016, ha introdotto molte novità alla disciplina IMU di cui all’art. 13 D.L. n. 201/2011.</a:t>
          </a:r>
        </a:p>
        <a:p>
          <a:r>
            <a:rPr lang="it-IT" sz="1100">
              <a:solidFill>
                <a:schemeClr val="dk1"/>
              </a:solidFill>
              <a:effectLst/>
              <a:latin typeface="+mn-lt"/>
              <a:ea typeface="+mn-ea"/>
              <a:cs typeface="+mn-cs"/>
            </a:rPr>
            <a:t>In particolare: </a:t>
          </a:r>
        </a:p>
        <a:p>
          <a:r>
            <a:rPr lang="it-IT" sz="1100">
              <a:solidFill>
                <a:schemeClr val="dk1"/>
              </a:solidFill>
              <a:effectLst/>
              <a:latin typeface="+mn-lt"/>
              <a:ea typeface="+mn-ea"/>
              <a:cs typeface="+mn-cs"/>
            </a:rPr>
            <a:t>- viene eliminato il moltiplicatore favorevole, pari a 75, riservato per la determinazione della base imponibile dei terreni agricoli dei coltivatori diretti (CD) e imprenditori agricoli professionali (IAP); </a:t>
          </a:r>
        </a:p>
        <a:p>
          <a:r>
            <a:rPr lang="it-IT" sz="1100">
              <a:solidFill>
                <a:schemeClr val="dk1"/>
              </a:solidFill>
              <a:effectLst/>
              <a:latin typeface="+mn-lt"/>
              <a:ea typeface="+mn-ea"/>
              <a:cs typeface="+mn-cs"/>
            </a:rPr>
            <a:t>- vengono eliminate le riduzioni a scaglioni previste per i CD e IAP dal comma 8-bis, art. 13 D.L. n. 201/2011; </a:t>
          </a:r>
        </a:p>
        <a:p>
          <a:r>
            <a:rPr lang="it-IT" sz="1100">
              <a:solidFill>
                <a:schemeClr val="dk1"/>
              </a:solidFill>
              <a:effectLst/>
              <a:latin typeface="+mn-lt"/>
              <a:ea typeface="+mn-ea"/>
              <a:cs typeface="+mn-cs"/>
            </a:rPr>
            <a:t>- si introduce l’esenzione per i terreni agricoli: </a:t>
          </a:r>
        </a:p>
        <a:p>
          <a:r>
            <a:rPr lang="it-IT" sz="1100">
              <a:solidFill>
                <a:schemeClr val="dk1"/>
              </a:solidFill>
              <a:effectLst/>
              <a:latin typeface="+mn-lt"/>
              <a:ea typeface="+mn-ea"/>
              <a:cs typeface="+mn-cs"/>
            </a:rPr>
            <a:t>a) posseduti e condotti dai coltivatori diretti e dagli imprenditori agricoli professionali di cui all’art. 1 del D.Lgs. 29 marzo 2004, n. 99, iscritti nella previdenza agricola, indipendentemente dalla loro ubicazione; </a:t>
          </a:r>
        </a:p>
        <a:p>
          <a:r>
            <a:rPr lang="it-IT" sz="1100">
              <a:solidFill>
                <a:schemeClr val="dk1"/>
              </a:solidFill>
              <a:effectLst/>
              <a:latin typeface="+mn-lt"/>
              <a:ea typeface="+mn-ea"/>
              <a:cs typeface="+mn-cs"/>
            </a:rPr>
            <a:t>b) ubicati nei comuni delle isole minori di cui all’allegato A della Legge 28 dicembre 2001, n. 448; </a:t>
          </a:r>
        </a:p>
        <a:p>
          <a:r>
            <a:rPr lang="it-IT" sz="1100">
              <a:solidFill>
                <a:schemeClr val="dk1"/>
              </a:solidFill>
              <a:effectLst/>
              <a:latin typeface="+mn-lt"/>
              <a:ea typeface="+mn-ea"/>
              <a:cs typeface="+mn-cs"/>
            </a:rPr>
            <a:t>c) a immutabile destinazione agro-silvo-pastorale a proprietà collettiva indivisibile e inusucapibile..</a:t>
          </a:r>
        </a:p>
        <a:p>
          <a:r>
            <a:rPr lang="it-IT" sz="1100">
              <a:solidFill>
                <a:schemeClr val="dk1"/>
              </a:solidFill>
              <a:effectLst/>
              <a:latin typeface="+mn-lt"/>
              <a:ea typeface="+mn-ea"/>
              <a:cs typeface="+mn-cs"/>
            </a:rPr>
            <a:t>Inoltre: </a:t>
          </a:r>
        </a:p>
        <a:p>
          <a:r>
            <a:rPr lang="it-IT" sz="1100">
              <a:solidFill>
                <a:schemeClr val="dk1"/>
              </a:solidFill>
              <a:effectLst/>
              <a:latin typeface="+mn-lt"/>
              <a:ea typeface="+mn-ea"/>
              <a:cs typeface="+mn-cs"/>
            </a:rPr>
            <a:t>- si introduce una riduzione del 50% della base imponibile per gli immobili dati in comodato d’uso a figli o genitori. Il beneficio si applica purché il contratto sia registrato e il comodante possieda un solo immobile in Italia, e risieda anagraficamente nonché dimori abitualmente nello stesso comune in cui è sito l’immobile concesso in comodato. Al contempo si estende detto beneficio anche al caso in cui il comodante, oltre all’immobile concesso in comodato, possieda nello stesso comune un altro immobile adibito a propria abitazione principale (non di lusso);</a:t>
          </a:r>
        </a:p>
        <a:p>
          <a:r>
            <a:rPr lang="it-IT" sz="1100">
              <a:solidFill>
                <a:schemeClr val="dk1"/>
              </a:solidFill>
              <a:effectLst/>
              <a:latin typeface="+mn-lt"/>
              <a:ea typeface="+mn-ea"/>
              <a:cs typeface="+mn-cs"/>
            </a:rPr>
            <a:t>- si introduce l’esenzione da IMU per le unità immobiliari appartenenti alle cooperative edilizie a proprietà indivisa destinate a studenti universitari soci assegnatari, anche in deroga al richiesto requisito della residenza anagrafica;</a:t>
          </a:r>
        </a:p>
        <a:p>
          <a:pPr>
            <a:lnSpc>
              <a:spcPts val="1100"/>
            </a:lnSpc>
          </a:pPr>
          <a:r>
            <a:rPr lang="it-IT" sz="1100">
              <a:solidFill>
                <a:schemeClr val="dk1"/>
              </a:solidFill>
              <a:effectLst/>
              <a:latin typeface="+mn-lt"/>
              <a:ea typeface="+mn-ea"/>
              <a:cs typeface="+mn-cs"/>
            </a:rPr>
            <a:t>- si sospende, per l’anno 2016, l’efficacia delle leggi regionali e delle deliberazioni comunali per la parte in cui aumentano i tributi e le addizionali attribuite ai medesimi enti territoriali, in luogo di vietare la deliberazione di tali aumenti. Si chiarisce inoltre che detti aumenti sono rapportati ai livelli di aliquote applicabili per l’esercizio 2015 (anziché essere comparati ai livelli di aliquote deliberate, entro la data del 30 luglio 2015, per l'esercizio 2015). In tal modo, la sospensione degli aumenti di aliquote riguarda anche gli enti che hanno già deliberato in tal senso all’entrata in vigore della legge di stabilità in esame;</a:t>
          </a:r>
        </a:p>
        <a:p>
          <a:r>
            <a:rPr lang="it-IT" sz="1100">
              <a:solidFill>
                <a:schemeClr val="dk1"/>
              </a:solidFill>
              <a:effectLst/>
              <a:latin typeface="+mn-lt"/>
              <a:ea typeface="+mn-ea"/>
              <a:cs typeface="+mn-cs"/>
            </a:rPr>
            <a:t>- si prevede una riduzione del 25% dell’imposta per le unità immobiliari locate a canone concordato;</a:t>
          </a:r>
        </a:p>
        <a:p>
          <a:r>
            <a:rPr lang="it-IT" sz="1100">
              <a:solidFill>
                <a:schemeClr val="dk1"/>
              </a:solidFill>
              <a:effectLst/>
              <a:latin typeface="+mn-lt"/>
              <a:ea typeface="+mn-ea"/>
              <a:cs typeface="+mn-cs"/>
            </a:rPr>
            <a:t>- si anticipa al 14 ottobre il termine (attualmente fissato al 21 ottobre) per la trasmissione delle delibere da parte dei Comuni ai fini della loro pubblicazione nel portale del federalismo fiscale.</a:t>
          </a:r>
        </a:p>
        <a:p>
          <a:pPr>
            <a:lnSpc>
              <a:spcPts val="1100"/>
            </a:lnSpc>
          </a:pPr>
          <a:r>
            <a:rPr lang="it-IT" sz="1100">
              <a:solidFill>
                <a:schemeClr val="dk1"/>
              </a:solidFill>
              <a:effectLst/>
              <a:latin typeface="+mn-lt"/>
              <a:ea typeface="+mn-ea"/>
              <a:cs typeface="+mn-cs"/>
            </a:rPr>
            <a:t> </a:t>
          </a:r>
        </a:p>
        <a:p>
          <a:pPr>
            <a:lnSpc>
              <a:spcPts val="1100"/>
            </a:lnSpc>
          </a:pPr>
          <a:r>
            <a:rPr lang="it-IT" sz="1100">
              <a:solidFill>
                <a:schemeClr val="dk1"/>
              </a:solidFill>
              <a:effectLst/>
              <a:latin typeface="+mn-lt"/>
              <a:ea typeface="+mn-ea"/>
              <a:cs typeface="+mn-cs"/>
            </a:rPr>
            <a:t>Infine, si ricorda che dal 1° gennaio 2016, la determinazione della rendita catastale degli immobili a destinazione speciale e particolare, censibili nelle categorie catastali dei gruppi D ed E (c.d. “imbullonati”) è effettuata, tramite stima diretta, tenendo conto del suolo e delle costruzioni, nonché degli elementi ad essi strutturalmente connessi che ne accrescono la qualità e l’utilità, nei limiti dell’ordinario apprezzamento. </a:t>
          </a:r>
        </a:p>
        <a:p>
          <a:r>
            <a:rPr lang="it-IT" sz="1100">
              <a:solidFill>
                <a:schemeClr val="dk1"/>
              </a:solidFill>
              <a:effectLst/>
              <a:latin typeface="+mn-lt"/>
              <a:ea typeface="+mn-ea"/>
              <a:cs typeface="+mn-cs"/>
            </a:rPr>
            <a:t>Sono esclusi dalla stessa stima diretta macchinari, congegni, attrezzature ed altri impianti, funzionali allo specifico processo produttivo.</a:t>
          </a:r>
        </a:p>
        <a:p>
          <a:pPr>
            <a:lnSpc>
              <a:spcPts val="1200"/>
            </a:lnSpc>
          </a:pPr>
          <a:r>
            <a:rPr lang="it-IT" sz="1100">
              <a:solidFill>
                <a:schemeClr val="dk1"/>
              </a:solidFill>
              <a:effectLst/>
              <a:latin typeface="+mn-lt"/>
              <a:ea typeface="+mn-ea"/>
              <a:cs typeface="+mn-cs"/>
            </a:rPr>
            <a:t>Limitatamente all’anno di imposizione 2016, per gli atti di aggiornamento presentati entro il 15 giugno 2016 le rendite catastali rideterminate, in deroga alle disposizioni in vigore, hanno effetto retroattivo dal 1° gennaio 2016.</a:t>
          </a:r>
        </a:p>
        <a:p>
          <a:pPr lvl="0"/>
          <a:endParaRPr lang="it-IT" sz="1100">
            <a:solidFill>
              <a:schemeClr val="dk1"/>
            </a:solidFill>
            <a:effectLst/>
            <a:latin typeface="+mn-lt"/>
            <a:ea typeface="+mn-ea"/>
            <a:cs typeface="+mn-cs"/>
          </a:endParaRPr>
        </a:p>
        <a:p>
          <a:pPr lvl="0"/>
          <a:r>
            <a:rPr lang="it-IT" sz="1100" b="1">
              <a:solidFill>
                <a:schemeClr val="dk1"/>
              </a:solidFill>
              <a:effectLst/>
              <a:latin typeface="+mn-lt"/>
              <a:ea typeface="+mn-ea"/>
              <a:cs typeface="+mn-cs"/>
            </a:rPr>
            <a:t>N.B. I</a:t>
          </a:r>
          <a:r>
            <a:rPr lang="it-IT" sz="1100" b="1" baseline="0">
              <a:solidFill>
                <a:schemeClr val="dk1"/>
              </a:solidFill>
              <a:effectLst/>
              <a:latin typeface="+mn-lt"/>
              <a:ea typeface="+mn-ea"/>
              <a:cs typeface="+mn-cs"/>
            </a:rPr>
            <a:t>l presente software  consente di effettuare i calcoli nelle ipotesi più comuni, lasciando all'utente l'onere di determinare l'imposta in situazioni più specifiche quali, ad esempio:</a:t>
          </a:r>
        </a:p>
        <a:p>
          <a:pPr lvl="0">
            <a:lnSpc>
              <a:spcPts val="1000"/>
            </a:lnSpc>
          </a:pPr>
          <a:r>
            <a:rPr lang="it-IT" sz="1100" b="1" baseline="0">
              <a:solidFill>
                <a:schemeClr val="dk1"/>
              </a:solidFill>
              <a:effectLst/>
              <a:latin typeface="+mn-lt"/>
              <a:ea typeface="+mn-ea"/>
              <a:cs typeface="+mn-cs"/>
            </a:rPr>
            <a:t>- immobili di  cooperative a proprietà indivisa;</a:t>
          </a:r>
        </a:p>
        <a:p>
          <a:pPr lvl="0">
            <a:lnSpc>
              <a:spcPts val="1000"/>
            </a:lnSpc>
          </a:pPr>
          <a:r>
            <a:rPr lang="it-IT" sz="1100" b="1" baseline="0">
              <a:solidFill>
                <a:schemeClr val="dk1"/>
              </a:solidFill>
              <a:effectLst/>
              <a:latin typeface="+mn-lt"/>
              <a:ea typeface="+mn-ea"/>
              <a:cs typeface="+mn-cs"/>
            </a:rPr>
            <a:t>- immobili di appartenenti alle forze dell'ordine.</a:t>
          </a:r>
        </a:p>
        <a:p>
          <a:pPr lvl="0">
            <a:lnSpc>
              <a:spcPts val="1000"/>
            </a:lnSpc>
          </a:pPr>
          <a:endParaRPr lang="it-IT" sz="1100">
            <a:solidFill>
              <a:schemeClr val="dk1"/>
            </a:solidFill>
            <a:effectLst/>
            <a:latin typeface="+mn-lt"/>
            <a:ea typeface="+mn-ea"/>
            <a:cs typeface="+mn-cs"/>
          </a:endParaRPr>
        </a:p>
        <a:p>
          <a:pPr lvl="0">
            <a:lnSpc>
              <a:spcPts val="900"/>
            </a:lnSpc>
          </a:pPr>
          <a:endParaRPr lang="it-IT" sz="1100">
            <a:solidFill>
              <a:schemeClr val="dk1"/>
            </a:solidFill>
            <a:effectLst/>
            <a:latin typeface="+mn-lt"/>
            <a:ea typeface="+mn-ea"/>
            <a:cs typeface="+mn-cs"/>
          </a:endParaRPr>
        </a:p>
        <a:p>
          <a:pPr lvl="0">
            <a:lnSpc>
              <a:spcPts val="1100"/>
            </a:lnSpc>
          </a:pPr>
          <a:endParaRPr lang="it-IT" sz="1100">
            <a:solidFill>
              <a:schemeClr val="dk1"/>
            </a:solidFill>
            <a:effectLst/>
            <a:latin typeface="+mn-lt"/>
            <a:ea typeface="+mn-ea"/>
            <a:cs typeface="+mn-cs"/>
          </a:endParaRPr>
        </a:p>
        <a:p>
          <a:pPr>
            <a:lnSpc>
              <a:spcPts val="900"/>
            </a:lnSpc>
          </a:pPr>
          <a:endParaRPr lang="it-IT"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228600</xdr:colOff>
          <xdr:row>0</xdr:row>
          <xdr:rowOff>60960</xdr:rowOff>
        </xdr:from>
        <xdr:to>
          <xdr:col>5</xdr:col>
          <xdr:colOff>68580</xdr:colOff>
          <xdr:row>0</xdr:row>
          <xdr:rowOff>457200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9873E669-5A20-569F-5617-F9B8735FBE4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Pagina iniziale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VERIO/2013/EDITORIA/SOFTWARE/IMU/Calcolo%20IMU%2020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averio/Editoria/Tuttocalcoli/Programmi/Da%20lavorare/Analisi%20di%20bilancio%20vers.%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truzioni"/>
      <sheetName val="Dati"/>
      <sheetName val="Terreni agricoli"/>
      <sheetName val="Abitazione principale"/>
      <sheetName val="Altri fabbricati"/>
      <sheetName val="Aree fabbricabili"/>
      <sheetName val="Calcolo ICI"/>
      <sheetName val="Aggiornamenti"/>
      <sheetName val="Riduzione terreni"/>
      <sheetName val="Oggetti"/>
      <sheetName val="Estrai dati"/>
    </sheetNames>
    <sheetDataSet>
      <sheetData sheetId="0"/>
      <sheetData sheetId="1">
        <row r="15">
          <cell r="C15">
            <v>1</v>
          </cell>
        </row>
        <row r="17">
          <cell r="C17">
            <v>2</v>
          </cell>
        </row>
        <row r="19">
          <cell r="C19">
            <v>2</v>
          </cell>
        </row>
      </sheetData>
      <sheetData sheetId="2"/>
      <sheetData sheetId="3"/>
      <sheetData sheetId="4">
        <row r="5">
          <cell r="K5">
            <v>599.21399999999994</v>
          </cell>
        </row>
        <row r="6">
          <cell r="K6">
            <v>152.11350000000002</v>
          </cell>
        </row>
        <row r="7">
          <cell r="K7">
            <v>78.634500000000003</v>
          </cell>
        </row>
        <row r="8">
          <cell r="K8">
            <v>195.21600000000001</v>
          </cell>
        </row>
        <row r="9">
          <cell r="K9">
            <v>0</v>
          </cell>
        </row>
        <row r="10">
          <cell r="K10">
            <v>0</v>
          </cell>
        </row>
        <row r="11">
          <cell r="K11">
            <v>0</v>
          </cell>
        </row>
        <row r="12">
          <cell r="K12">
            <v>0</v>
          </cell>
        </row>
        <row r="13">
          <cell r="K13">
            <v>0</v>
          </cell>
        </row>
        <row r="14">
          <cell r="K14">
            <v>0</v>
          </cell>
        </row>
        <row r="15">
          <cell r="K15">
            <v>0</v>
          </cell>
        </row>
        <row r="16">
          <cell r="K16">
            <v>0</v>
          </cell>
        </row>
        <row r="17">
          <cell r="K17">
            <v>0</v>
          </cell>
        </row>
        <row r="18">
          <cell r="K18">
            <v>0</v>
          </cell>
        </row>
        <row r="19">
          <cell r="K19">
            <v>0</v>
          </cell>
        </row>
        <row r="20">
          <cell r="K20">
            <v>0</v>
          </cell>
        </row>
        <row r="21">
          <cell r="K21">
            <v>0</v>
          </cell>
        </row>
        <row r="22">
          <cell r="K22">
            <v>0</v>
          </cell>
        </row>
        <row r="23">
          <cell r="K23">
            <v>0</v>
          </cell>
        </row>
        <row r="24">
          <cell r="K24">
            <v>0</v>
          </cell>
        </row>
        <row r="25">
          <cell r="K25">
            <v>0</v>
          </cell>
        </row>
        <row r="26">
          <cell r="K26">
            <v>0</v>
          </cell>
        </row>
        <row r="27">
          <cell r="K27">
            <v>0</v>
          </cell>
        </row>
        <row r="28">
          <cell r="K28">
            <v>0</v>
          </cell>
        </row>
        <row r="29">
          <cell r="K29">
            <v>0</v>
          </cell>
        </row>
      </sheetData>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Ricalssifica"/>
      <sheetName val="PianoConti"/>
      <sheetName val="Conti"/>
      <sheetName val="Bilancio"/>
      <sheetName val="Indici di bilancio"/>
      <sheetName val="GUIDA"/>
      <sheetName val="MACRO"/>
      <sheetName val="INSERIMENTO-BILANCIO (2)"/>
    </sheetNames>
    <sheetDataSet>
      <sheetData sheetId="0"/>
      <sheetData sheetId="1"/>
      <sheetData sheetId="2">
        <row r="56">
          <cell r="A56" t="str">
            <v>Codice</v>
          </cell>
          <cell r="B56" t="str">
            <v>Voce di bilancio</v>
          </cell>
          <cell r="C56">
            <v>2004</v>
          </cell>
          <cell r="D56">
            <v>2005</v>
          </cell>
        </row>
        <row r="57">
          <cell r="C57" t="str">
            <v>&gt;0</v>
          </cell>
        </row>
        <row r="58">
          <cell r="D58" t="str">
            <v>&gt;0</v>
          </cell>
        </row>
      </sheetData>
      <sheetData sheetId="3">
        <row r="3">
          <cell r="A3" t="str">
            <v>Gruppo</v>
          </cell>
          <cell r="B3" t="str">
            <v>Codice</v>
          </cell>
          <cell r="C3" t="str">
            <v>Voce di bilancio</v>
          </cell>
          <cell r="D3">
            <v>2004</v>
          </cell>
          <cell r="E3">
            <v>2005</v>
          </cell>
        </row>
        <row r="4">
          <cell r="A4" t="str">
            <v>STATO PATRIMONIALE - ATTIVITA'</v>
          </cell>
        </row>
        <row r="5">
          <cell r="A5" t="str">
            <v>A</v>
          </cell>
          <cell r="B5">
            <v>1</v>
          </cell>
          <cell r="C5" t="str">
            <v>IMMOBILIZZ. MATERIALI</v>
          </cell>
          <cell r="D5">
            <v>27159372</v>
          </cell>
          <cell r="E5">
            <v>40045329</v>
          </cell>
        </row>
        <row r="6">
          <cell r="A6" t="str">
            <v>A</v>
          </cell>
          <cell r="B6">
            <v>10001</v>
          </cell>
          <cell r="C6" t="str">
            <v>Terreni</v>
          </cell>
          <cell r="D6">
            <v>1</v>
          </cell>
          <cell r="E6">
            <v>0</v>
          </cell>
        </row>
        <row r="7">
          <cell r="A7" t="str">
            <v>A</v>
          </cell>
          <cell r="B7">
            <v>10002</v>
          </cell>
          <cell r="C7" t="str">
            <v>Fabbricati indust.li</v>
          </cell>
          <cell r="D7">
            <v>0</v>
          </cell>
          <cell r="E7">
            <v>0</v>
          </cell>
        </row>
        <row r="8">
          <cell r="A8" t="str">
            <v>A</v>
          </cell>
          <cell r="B8">
            <v>10003</v>
          </cell>
          <cell r="C8" t="str">
            <v>Fabbricati comm.li</v>
          </cell>
          <cell r="D8">
            <v>0</v>
          </cell>
          <cell r="E8">
            <v>0</v>
          </cell>
        </row>
        <row r="9">
          <cell r="A9" t="str">
            <v>A</v>
          </cell>
          <cell r="B9">
            <v>10004</v>
          </cell>
          <cell r="C9" t="str">
            <v>Automezzi</v>
          </cell>
          <cell r="D9">
            <v>0</v>
          </cell>
          <cell r="E9">
            <v>0</v>
          </cell>
        </row>
        <row r="10">
          <cell r="A10" t="str">
            <v>A</v>
          </cell>
          <cell r="B10">
            <v>10005</v>
          </cell>
          <cell r="C10" t="str">
            <v>Impianti in esecuzione</v>
          </cell>
          <cell r="D10">
            <v>0</v>
          </cell>
          <cell r="E10">
            <v>2200</v>
          </cell>
        </row>
        <row r="11">
          <cell r="A11" t="str">
            <v>A</v>
          </cell>
          <cell r="B11">
            <v>10006</v>
          </cell>
          <cell r="C11" t="str">
            <v>Fabbr.ti in costruzione</v>
          </cell>
          <cell r="D11">
            <v>750</v>
          </cell>
          <cell r="E11">
            <v>0</v>
          </cell>
        </row>
        <row r="12">
          <cell r="A12" t="str">
            <v>A</v>
          </cell>
          <cell r="B12">
            <v>10007</v>
          </cell>
          <cell r="C12" t="str">
            <v>Macchinari e impianti</v>
          </cell>
          <cell r="D12">
            <v>33333</v>
          </cell>
          <cell r="E12">
            <v>10691279</v>
          </cell>
        </row>
        <row r="13">
          <cell r="A13" t="str">
            <v>A</v>
          </cell>
          <cell r="B13">
            <v>10008</v>
          </cell>
          <cell r="C13" t="str">
            <v>Attrezzature</v>
          </cell>
          <cell r="D13">
            <v>11434491</v>
          </cell>
          <cell r="E13">
            <v>11434491</v>
          </cell>
        </row>
        <row r="14">
          <cell r="A14" t="str">
            <v>A</v>
          </cell>
          <cell r="B14">
            <v>10009</v>
          </cell>
          <cell r="C14" t="str">
            <v>Mobili e arredi</v>
          </cell>
          <cell r="D14">
            <v>2203403</v>
          </cell>
          <cell r="E14">
            <v>4345931</v>
          </cell>
        </row>
        <row r="15">
          <cell r="A15" t="str">
            <v>A</v>
          </cell>
          <cell r="B15">
            <v>10010</v>
          </cell>
          <cell r="C15" t="str">
            <v>Macchine d'ufficio</v>
          </cell>
          <cell r="D15">
            <v>0</v>
          </cell>
          <cell r="E15">
            <v>0</v>
          </cell>
        </row>
        <row r="16">
          <cell r="A16" t="str">
            <v>A</v>
          </cell>
          <cell r="B16">
            <v>10011</v>
          </cell>
          <cell r="C16" t="str">
            <v>Macchine elettrocontabili</v>
          </cell>
          <cell r="D16">
            <v>0</v>
          </cell>
          <cell r="E16">
            <v>84034</v>
          </cell>
        </row>
        <row r="17">
          <cell r="A17" t="str">
            <v>A</v>
          </cell>
          <cell r="B17">
            <v>10012</v>
          </cell>
          <cell r="C17" t="str">
            <v>Beni in leasing</v>
          </cell>
          <cell r="D17">
            <v>0</v>
          </cell>
          <cell r="E17">
            <v>0</v>
          </cell>
        </row>
        <row r="18">
          <cell r="A18" t="str">
            <v>A</v>
          </cell>
          <cell r="B18">
            <v>10013</v>
          </cell>
          <cell r="C18" t="str">
            <v>Fabbricati civili</v>
          </cell>
          <cell r="D18">
            <v>0</v>
          </cell>
          <cell r="E18">
            <v>0</v>
          </cell>
        </row>
        <row r="19">
          <cell r="A19" t="str">
            <v>A</v>
          </cell>
          <cell r="B19">
            <v>10014</v>
          </cell>
          <cell r="C19" t="str">
            <v>Fabbricati in economia</v>
          </cell>
          <cell r="D19">
            <v>0</v>
          </cell>
          <cell r="E19">
            <v>0</v>
          </cell>
        </row>
        <row r="20">
          <cell r="A20" t="str">
            <v>A</v>
          </cell>
          <cell r="B20">
            <v>10015</v>
          </cell>
          <cell r="C20" t="str">
            <v>Impianti di illuminazione</v>
          </cell>
          <cell r="D20">
            <v>0</v>
          </cell>
          <cell r="E20">
            <v>0</v>
          </cell>
        </row>
        <row r="21">
          <cell r="A21" t="str">
            <v>A</v>
          </cell>
          <cell r="B21">
            <v>10016</v>
          </cell>
          <cell r="C21" t="str">
            <v>Beni strum. &lt; 50.000</v>
          </cell>
          <cell r="D21">
            <v>0</v>
          </cell>
          <cell r="E21">
            <v>0</v>
          </cell>
        </row>
        <row r="22">
          <cell r="A22" t="str">
            <v>A</v>
          </cell>
          <cell r="B22">
            <v>10017</v>
          </cell>
          <cell r="C22" t="str">
            <v>Attrezz. in economia</v>
          </cell>
          <cell r="D22">
            <v>0</v>
          </cell>
          <cell r="E22">
            <v>0</v>
          </cell>
        </row>
        <row r="23">
          <cell r="A23" t="str">
            <v>A</v>
          </cell>
          <cell r="B23">
            <v>10018</v>
          </cell>
          <cell r="C23" t="str">
            <v>Beni strum. &lt; 1.000.000</v>
          </cell>
          <cell r="D23">
            <v>0</v>
          </cell>
          <cell r="E23">
            <v>0</v>
          </cell>
        </row>
        <row r="24">
          <cell r="A24" t="str">
            <v>A</v>
          </cell>
          <cell r="B24">
            <v>10019</v>
          </cell>
          <cell r="C24" t="str">
            <v>Altri beni</v>
          </cell>
          <cell r="D24">
            <v>13487394</v>
          </cell>
          <cell r="E24">
            <v>13487394</v>
          </cell>
        </row>
        <row r="25">
          <cell r="A25" t="str">
            <v>A</v>
          </cell>
          <cell r="B25">
            <v>10020</v>
          </cell>
          <cell r="C25" t="str">
            <v>Spese di ammodernamento</v>
          </cell>
          <cell r="D25">
            <v>0</v>
          </cell>
          <cell r="E25">
            <v>0</v>
          </cell>
        </row>
        <row r="26">
          <cell r="A26" t="str">
            <v>A</v>
          </cell>
          <cell r="B26">
            <v>2</v>
          </cell>
          <cell r="C26" t="str">
            <v>IMMOBILIZZ. IMMATERIALI</v>
          </cell>
          <cell r="D26">
            <v>0</v>
          </cell>
          <cell r="E26">
            <v>0</v>
          </cell>
        </row>
        <row r="27">
          <cell r="A27" t="str">
            <v>A</v>
          </cell>
          <cell r="B27">
            <v>20001</v>
          </cell>
          <cell r="C27" t="str">
            <v>Avviamento</v>
          </cell>
          <cell r="D27">
            <v>0</v>
          </cell>
          <cell r="E27">
            <v>0</v>
          </cell>
        </row>
        <row r="28">
          <cell r="A28" t="str">
            <v>A</v>
          </cell>
          <cell r="B28">
            <v>20002</v>
          </cell>
          <cell r="C28" t="str">
            <v>Spese d'impianto</v>
          </cell>
          <cell r="D28">
            <v>0</v>
          </cell>
          <cell r="E28">
            <v>0</v>
          </cell>
        </row>
        <row r="29">
          <cell r="A29" t="str">
            <v>A</v>
          </cell>
          <cell r="B29">
            <v>20003</v>
          </cell>
          <cell r="C29" t="str">
            <v>Manut. e Rip. da ammort. 5%</v>
          </cell>
          <cell r="D29">
            <v>0</v>
          </cell>
          <cell r="E29">
            <v>0</v>
          </cell>
        </row>
        <row r="30">
          <cell r="A30" t="str">
            <v>A</v>
          </cell>
          <cell r="B30">
            <v>20004</v>
          </cell>
          <cell r="C30" t="str">
            <v>Ind.tà TFR da ammortizz.</v>
          </cell>
          <cell r="D30">
            <v>0</v>
          </cell>
          <cell r="E30">
            <v>0</v>
          </cell>
        </row>
        <row r="31">
          <cell r="A31" t="str">
            <v>A</v>
          </cell>
          <cell r="B31">
            <v>20005</v>
          </cell>
          <cell r="C31" t="str">
            <v>Concessioni e brevetti</v>
          </cell>
          <cell r="D31">
            <v>0</v>
          </cell>
          <cell r="E31">
            <v>0</v>
          </cell>
        </row>
        <row r="32">
          <cell r="A32" t="str">
            <v>A</v>
          </cell>
          <cell r="B32">
            <v>20006</v>
          </cell>
          <cell r="C32" t="str">
            <v>Spese manut. e rip. straord.</v>
          </cell>
          <cell r="D32">
            <v>0</v>
          </cell>
          <cell r="E32">
            <v>0</v>
          </cell>
        </row>
        <row r="33">
          <cell r="A33" t="str">
            <v>A</v>
          </cell>
          <cell r="B33">
            <v>20007</v>
          </cell>
          <cell r="C33" t="str">
            <v>Spese di ampliamento</v>
          </cell>
          <cell r="D33">
            <v>0</v>
          </cell>
          <cell r="E33">
            <v>0</v>
          </cell>
        </row>
        <row r="34">
          <cell r="A34" t="str">
            <v>A</v>
          </cell>
          <cell r="B34">
            <v>20008</v>
          </cell>
          <cell r="C34" t="str">
            <v>Costi su beni di terzi</v>
          </cell>
          <cell r="D34">
            <v>0</v>
          </cell>
          <cell r="E34">
            <v>0</v>
          </cell>
        </row>
        <row r="35">
          <cell r="A35" t="str">
            <v>A</v>
          </cell>
          <cell r="B35">
            <v>3</v>
          </cell>
          <cell r="C35" t="str">
            <v>IMMOBILIZZ. FINANZIARIE</v>
          </cell>
          <cell r="D35">
            <v>0</v>
          </cell>
          <cell r="E35">
            <v>0</v>
          </cell>
        </row>
        <row r="36">
          <cell r="A36" t="str">
            <v>A</v>
          </cell>
          <cell r="B36">
            <v>30001</v>
          </cell>
          <cell r="C36" t="str">
            <v>Effetti att. insol. e prot.</v>
          </cell>
          <cell r="D36">
            <v>0</v>
          </cell>
          <cell r="E36">
            <v>0</v>
          </cell>
        </row>
        <row r="37">
          <cell r="A37" t="str">
            <v>A</v>
          </cell>
          <cell r="B37">
            <v>30002</v>
          </cell>
          <cell r="C37" t="str">
            <v>Partecipaz. sociali</v>
          </cell>
          <cell r="D37">
            <v>0</v>
          </cell>
          <cell r="E37">
            <v>0</v>
          </cell>
        </row>
        <row r="38">
          <cell r="A38" t="str">
            <v>A</v>
          </cell>
          <cell r="B38">
            <v>4</v>
          </cell>
          <cell r="C38" t="str">
            <v>MAGAZZINO</v>
          </cell>
          <cell r="D38">
            <v>41012000</v>
          </cell>
          <cell r="E38">
            <v>63450000</v>
          </cell>
        </row>
        <row r="39">
          <cell r="A39" t="str">
            <v>A</v>
          </cell>
          <cell r="B39">
            <v>40001</v>
          </cell>
          <cell r="C39" t="str">
            <v>Materie prime</v>
          </cell>
          <cell r="D39">
            <v>0</v>
          </cell>
          <cell r="E39">
            <v>0</v>
          </cell>
        </row>
        <row r="40">
          <cell r="A40" t="str">
            <v>A</v>
          </cell>
          <cell r="B40">
            <v>40002</v>
          </cell>
          <cell r="C40" t="str">
            <v>Materie sussidiarie</v>
          </cell>
          <cell r="D40">
            <v>0</v>
          </cell>
          <cell r="E40">
            <v>0</v>
          </cell>
        </row>
        <row r="41">
          <cell r="A41" t="str">
            <v>A</v>
          </cell>
          <cell r="B41">
            <v>40003</v>
          </cell>
          <cell r="C41" t="str">
            <v>Prodotti finiti</v>
          </cell>
          <cell r="D41">
            <v>0</v>
          </cell>
          <cell r="E41">
            <v>0</v>
          </cell>
        </row>
        <row r="42">
          <cell r="A42" t="str">
            <v>A</v>
          </cell>
          <cell r="B42">
            <v>40004</v>
          </cell>
          <cell r="C42" t="str">
            <v>Prodotti in lavorazione</v>
          </cell>
          <cell r="D42">
            <v>0</v>
          </cell>
          <cell r="E42">
            <v>0</v>
          </cell>
        </row>
        <row r="43">
          <cell r="A43" t="str">
            <v>A</v>
          </cell>
          <cell r="B43">
            <v>40005</v>
          </cell>
          <cell r="C43" t="str">
            <v>Merci</v>
          </cell>
          <cell r="D43">
            <v>38025000</v>
          </cell>
          <cell r="E43">
            <v>63450000</v>
          </cell>
        </row>
        <row r="44">
          <cell r="A44" t="str">
            <v>A</v>
          </cell>
          <cell r="B44">
            <v>40006</v>
          </cell>
          <cell r="C44" t="str">
            <v>Imballaggi</v>
          </cell>
          <cell r="D44">
            <v>2987000</v>
          </cell>
          <cell r="E44">
            <v>0</v>
          </cell>
        </row>
        <row r="45">
          <cell r="A45" t="str">
            <v>A</v>
          </cell>
          <cell r="B45">
            <v>40007</v>
          </cell>
          <cell r="C45" t="str">
            <v>Materiali di consumo</v>
          </cell>
          <cell r="D45">
            <v>0</v>
          </cell>
          <cell r="E45">
            <v>0</v>
          </cell>
        </row>
        <row r="46">
          <cell r="A46" t="str">
            <v>A</v>
          </cell>
          <cell r="B46">
            <v>40008</v>
          </cell>
          <cell r="C46" t="str">
            <v>Lavori in esecuzione</v>
          </cell>
          <cell r="D46">
            <v>0</v>
          </cell>
          <cell r="E46">
            <v>0</v>
          </cell>
        </row>
        <row r="47">
          <cell r="A47" t="str">
            <v>A</v>
          </cell>
          <cell r="B47">
            <v>40009</v>
          </cell>
          <cell r="C47" t="str">
            <v>Prodotti sussidiari</v>
          </cell>
          <cell r="D47">
            <v>0</v>
          </cell>
          <cell r="E47">
            <v>0</v>
          </cell>
        </row>
        <row r="48">
          <cell r="A48" t="str">
            <v>A</v>
          </cell>
          <cell r="B48">
            <v>5</v>
          </cell>
          <cell r="C48" t="str">
            <v>BANCHE</v>
          </cell>
          <cell r="D48">
            <v>0</v>
          </cell>
          <cell r="E48">
            <v>0</v>
          </cell>
        </row>
        <row r="49">
          <cell r="A49" t="str">
            <v>A</v>
          </cell>
          <cell r="B49">
            <v>50001</v>
          </cell>
          <cell r="C49" t="str">
            <v>Banche c/c attivo entro l'anno</v>
          </cell>
          <cell r="D49">
            <v>0</v>
          </cell>
          <cell r="E49">
            <v>0</v>
          </cell>
        </row>
        <row r="50">
          <cell r="A50" t="str">
            <v>A</v>
          </cell>
          <cell r="B50">
            <v>50002</v>
          </cell>
          <cell r="C50" t="str">
            <v>Banche c/c attivo oltre l'anno</v>
          </cell>
          <cell r="D50">
            <v>0</v>
          </cell>
          <cell r="E50">
            <v>0</v>
          </cell>
        </row>
        <row r="51">
          <cell r="A51" t="str">
            <v>A</v>
          </cell>
          <cell r="B51">
            <v>6</v>
          </cell>
          <cell r="C51" t="str">
            <v>CREDITI V/CLIENTI</v>
          </cell>
          <cell r="D51">
            <v>0</v>
          </cell>
          <cell r="E51">
            <v>0</v>
          </cell>
        </row>
        <row r="52">
          <cell r="A52" t="str">
            <v>A</v>
          </cell>
          <cell r="B52">
            <v>60001</v>
          </cell>
          <cell r="C52" t="str">
            <v>Crediti/clienti  entro l'anno</v>
          </cell>
          <cell r="D52">
            <v>0</v>
          </cell>
          <cell r="E52">
            <v>0</v>
          </cell>
        </row>
        <row r="53">
          <cell r="A53" t="str">
            <v>A</v>
          </cell>
          <cell r="B53">
            <v>60002</v>
          </cell>
          <cell r="C53" t="str">
            <v>Crediti/clienti  oltre l'anno</v>
          </cell>
          <cell r="D53">
            <v>0</v>
          </cell>
          <cell r="E53">
            <v>0</v>
          </cell>
        </row>
        <row r="54">
          <cell r="A54" t="str">
            <v>A</v>
          </cell>
          <cell r="B54">
            <v>7</v>
          </cell>
          <cell r="C54" t="str">
            <v>PORTAFOGLIO ATTIVO</v>
          </cell>
          <cell r="D54">
            <v>0</v>
          </cell>
          <cell r="E54">
            <v>0</v>
          </cell>
        </row>
        <row r="55">
          <cell r="A55" t="str">
            <v>A</v>
          </cell>
          <cell r="B55">
            <v>70001</v>
          </cell>
          <cell r="C55" t="str">
            <v>Cambiali attive</v>
          </cell>
          <cell r="D55">
            <v>0</v>
          </cell>
          <cell r="E55">
            <v>0</v>
          </cell>
        </row>
        <row r="56">
          <cell r="A56" t="str">
            <v>A</v>
          </cell>
          <cell r="B56">
            <v>70002</v>
          </cell>
          <cell r="C56" t="str">
            <v>Cambiali all'incasso</v>
          </cell>
          <cell r="D56">
            <v>0</v>
          </cell>
          <cell r="E56">
            <v>0</v>
          </cell>
        </row>
        <row r="57">
          <cell r="A57" t="str">
            <v>A</v>
          </cell>
          <cell r="B57">
            <v>70003</v>
          </cell>
          <cell r="C57" t="str">
            <v>Cambiali allo sconto</v>
          </cell>
          <cell r="D57">
            <v>0</v>
          </cell>
          <cell r="E57">
            <v>0</v>
          </cell>
        </row>
        <row r="58">
          <cell r="A58" t="str">
            <v>A</v>
          </cell>
          <cell r="B58">
            <v>70004</v>
          </cell>
          <cell r="C58" t="str">
            <v>Ass. insol. e protest.</v>
          </cell>
          <cell r="D58">
            <v>0</v>
          </cell>
          <cell r="E58">
            <v>0</v>
          </cell>
        </row>
        <row r="59">
          <cell r="A59" t="str">
            <v>A</v>
          </cell>
          <cell r="B59">
            <v>70005</v>
          </cell>
          <cell r="C59" t="str">
            <v>Eff. att. insol. e prot.</v>
          </cell>
          <cell r="D59">
            <v>0</v>
          </cell>
          <cell r="E59">
            <v>0</v>
          </cell>
        </row>
        <row r="60">
          <cell r="A60" t="str">
            <v>A</v>
          </cell>
          <cell r="B60">
            <v>8</v>
          </cell>
          <cell r="C60" t="str">
            <v>CREDITI DIVERSI</v>
          </cell>
          <cell r="D60">
            <v>6680823</v>
          </cell>
          <cell r="E60">
            <v>11198189</v>
          </cell>
        </row>
        <row r="61">
          <cell r="A61" t="str">
            <v>A</v>
          </cell>
          <cell r="B61">
            <v>80001</v>
          </cell>
          <cell r="C61" t="str">
            <v>Azionisti c/sottoscrizione</v>
          </cell>
          <cell r="D61">
            <v>0</v>
          </cell>
          <cell r="E61">
            <v>0</v>
          </cell>
        </row>
        <row r="62">
          <cell r="A62" t="str">
            <v>A</v>
          </cell>
          <cell r="B62">
            <v>80002</v>
          </cell>
          <cell r="C62" t="str">
            <v>Soci c/sottoscrizione</v>
          </cell>
          <cell r="D62">
            <v>0</v>
          </cell>
          <cell r="E62">
            <v>0</v>
          </cell>
        </row>
        <row r="63">
          <cell r="A63" t="str">
            <v>A</v>
          </cell>
          <cell r="B63">
            <v>80003</v>
          </cell>
          <cell r="C63" t="str">
            <v>Banca d'Italia c/decimi</v>
          </cell>
          <cell r="D63">
            <v>0</v>
          </cell>
          <cell r="E63">
            <v>0</v>
          </cell>
        </row>
        <row r="64">
          <cell r="A64" t="str">
            <v>A</v>
          </cell>
          <cell r="B64">
            <v>80004</v>
          </cell>
          <cell r="C64" t="str">
            <v>Soci c/decimi richiamati</v>
          </cell>
          <cell r="D64">
            <v>0</v>
          </cell>
          <cell r="E64">
            <v>0</v>
          </cell>
        </row>
        <row r="65">
          <cell r="A65" t="str">
            <v>A</v>
          </cell>
          <cell r="B65">
            <v>80005</v>
          </cell>
          <cell r="C65" t="str">
            <v>Banche c/vincolato</v>
          </cell>
          <cell r="D65">
            <v>0</v>
          </cell>
          <cell r="E65">
            <v>0</v>
          </cell>
        </row>
        <row r="66">
          <cell r="A66" t="str">
            <v>A</v>
          </cell>
          <cell r="B66">
            <v>80006</v>
          </cell>
          <cell r="C66" t="str">
            <v>Personale c/anticipi</v>
          </cell>
          <cell r="D66">
            <v>0</v>
          </cell>
          <cell r="E66">
            <v>0</v>
          </cell>
        </row>
        <row r="67">
          <cell r="A67" t="str">
            <v>A</v>
          </cell>
          <cell r="B67">
            <v>80007</v>
          </cell>
          <cell r="C67" t="str">
            <v>Soci c/acconto utili</v>
          </cell>
          <cell r="D67">
            <v>0</v>
          </cell>
          <cell r="E67">
            <v>0</v>
          </cell>
        </row>
        <row r="68">
          <cell r="A68" t="str">
            <v>A</v>
          </cell>
          <cell r="B68">
            <v>80008</v>
          </cell>
          <cell r="C68" t="str">
            <v>Crediti diversi entro l'anno</v>
          </cell>
          <cell r="D68">
            <v>0</v>
          </cell>
          <cell r="E68">
            <v>0</v>
          </cell>
        </row>
        <row r="69">
          <cell r="A69" t="str">
            <v>A</v>
          </cell>
          <cell r="B69">
            <v>80009</v>
          </cell>
          <cell r="C69" t="str">
            <v>Crediti diversi oltre l'anno</v>
          </cell>
          <cell r="D69">
            <v>0</v>
          </cell>
          <cell r="E69">
            <v>0</v>
          </cell>
        </row>
        <row r="70">
          <cell r="A70" t="str">
            <v>A</v>
          </cell>
          <cell r="B70">
            <v>80010</v>
          </cell>
          <cell r="C70" t="str">
            <v>Depositi cauzionali vincol.</v>
          </cell>
          <cell r="D70">
            <v>0</v>
          </cell>
          <cell r="E70">
            <v>210000</v>
          </cell>
        </row>
        <row r="71">
          <cell r="A71" t="str">
            <v>A</v>
          </cell>
          <cell r="B71">
            <v>80011</v>
          </cell>
          <cell r="C71" t="str">
            <v>Inps c/saldo creditore</v>
          </cell>
          <cell r="D71">
            <v>0</v>
          </cell>
          <cell r="E71">
            <v>0</v>
          </cell>
        </row>
        <row r="72">
          <cell r="A72" t="str">
            <v>A</v>
          </cell>
          <cell r="B72">
            <v>80012</v>
          </cell>
          <cell r="C72" t="str">
            <v>Fornit.c/anticipo merci</v>
          </cell>
          <cell r="D72">
            <v>0</v>
          </cell>
          <cell r="E72">
            <v>0</v>
          </cell>
        </row>
        <row r="73">
          <cell r="A73" t="str">
            <v>A</v>
          </cell>
          <cell r="B73">
            <v>80013</v>
          </cell>
          <cell r="C73" t="str">
            <v>Erario c/cred. reg. di cassa</v>
          </cell>
          <cell r="D73">
            <v>0</v>
          </cell>
          <cell r="E73">
            <v>0</v>
          </cell>
        </row>
        <row r="74">
          <cell r="A74" t="str">
            <v>A</v>
          </cell>
          <cell r="B74">
            <v>80014</v>
          </cell>
          <cell r="C74" t="str">
            <v>Credito IVA liquid. annuale</v>
          </cell>
          <cell r="D74">
            <v>6680823</v>
          </cell>
          <cell r="E74">
            <v>10988189</v>
          </cell>
        </row>
        <row r="75">
          <cell r="A75" t="str">
            <v>A</v>
          </cell>
          <cell r="B75">
            <v>80015</v>
          </cell>
          <cell r="C75" t="str">
            <v>Crediti da cessione</v>
          </cell>
          <cell r="D75">
            <v>0</v>
          </cell>
          <cell r="E75">
            <v>0</v>
          </cell>
        </row>
        <row r="76">
          <cell r="A76" t="str">
            <v>A</v>
          </cell>
          <cell r="B76">
            <v>80016</v>
          </cell>
          <cell r="C76" t="str">
            <v>Erario c/IVA cred. liq. period.</v>
          </cell>
          <cell r="D76">
            <v>0</v>
          </cell>
          <cell r="E76">
            <v>0</v>
          </cell>
        </row>
        <row r="77">
          <cell r="A77" t="str">
            <v>A</v>
          </cell>
          <cell r="B77">
            <v>80017</v>
          </cell>
          <cell r="C77" t="str">
            <v>Erario c/IRPEF a rimborso</v>
          </cell>
          <cell r="D77">
            <v>0</v>
          </cell>
          <cell r="E77">
            <v>0</v>
          </cell>
        </row>
        <row r="78">
          <cell r="A78" t="str">
            <v>A</v>
          </cell>
          <cell r="B78">
            <v>80018</v>
          </cell>
          <cell r="C78" t="str">
            <v>Erario c/ILOR a rimborso</v>
          </cell>
          <cell r="D78">
            <v>0</v>
          </cell>
          <cell r="E78">
            <v>0</v>
          </cell>
        </row>
        <row r="79">
          <cell r="A79" t="str">
            <v>A</v>
          </cell>
          <cell r="B79">
            <v>80019</v>
          </cell>
          <cell r="C79" t="str">
            <v>Erario c/addiz. ILOR a rimb.</v>
          </cell>
          <cell r="D79">
            <v>0</v>
          </cell>
          <cell r="E79">
            <v>0</v>
          </cell>
        </row>
        <row r="80">
          <cell r="A80" t="str">
            <v>A</v>
          </cell>
          <cell r="B80">
            <v>80020</v>
          </cell>
          <cell r="C80" t="str">
            <v>ENEL c/rimborsi</v>
          </cell>
          <cell r="D80">
            <v>0</v>
          </cell>
          <cell r="E80">
            <v>0</v>
          </cell>
        </row>
        <row r="81">
          <cell r="A81" t="str">
            <v>A</v>
          </cell>
          <cell r="B81">
            <v>80021</v>
          </cell>
          <cell r="C81" t="str">
            <v>Fatture da emettere</v>
          </cell>
          <cell r="D81">
            <v>0</v>
          </cell>
          <cell r="E81">
            <v>0</v>
          </cell>
        </row>
        <row r="82">
          <cell r="A82" t="str">
            <v>A</v>
          </cell>
          <cell r="B82">
            <v>80022</v>
          </cell>
          <cell r="C82" t="str">
            <v>INPS c/assegni fam.</v>
          </cell>
          <cell r="D82">
            <v>0</v>
          </cell>
          <cell r="E82">
            <v>0</v>
          </cell>
        </row>
        <row r="83">
          <cell r="A83" t="str">
            <v>A</v>
          </cell>
          <cell r="B83">
            <v>80023</v>
          </cell>
          <cell r="C83" t="str">
            <v>Prestiti a soci</v>
          </cell>
          <cell r="D83">
            <v>0</v>
          </cell>
          <cell r="E83">
            <v>0</v>
          </cell>
        </row>
        <row r="84">
          <cell r="A84" t="str">
            <v>A</v>
          </cell>
          <cell r="B84">
            <v>80024</v>
          </cell>
          <cell r="C84" t="str">
            <v>Erario c/IRPEG a rimborso</v>
          </cell>
          <cell r="D84">
            <v>0</v>
          </cell>
          <cell r="E84">
            <v>0</v>
          </cell>
        </row>
        <row r="85">
          <cell r="A85" t="str">
            <v>A</v>
          </cell>
          <cell r="B85">
            <v>80025</v>
          </cell>
          <cell r="C85" t="str">
            <v>Erario c/imposte a rimborso</v>
          </cell>
          <cell r="D85">
            <v>0</v>
          </cell>
          <cell r="E85">
            <v>0</v>
          </cell>
        </row>
        <row r="86">
          <cell r="A86" t="str">
            <v>A</v>
          </cell>
          <cell r="B86">
            <v>80026</v>
          </cell>
          <cell r="C86" t="str">
            <v>Fatture da emettere transit.</v>
          </cell>
          <cell r="D86">
            <v>0</v>
          </cell>
          <cell r="E86">
            <v>0</v>
          </cell>
        </row>
        <row r="87">
          <cell r="A87" t="str">
            <v>A</v>
          </cell>
          <cell r="B87">
            <v>80027</v>
          </cell>
          <cell r="C87" t="str">
            <v>INPS c/indennità malattia</v>
          </cell>
          <cell r="D87">
            <v>0</v>
          </cell>
          <cell r="E87">
            <v>0</v>
          </cell>
        </row>
        <row r="88">
          <cell r="A88" t="str">
            <v>A</v>
          </cell>
          <cell r="B88">
            <v>80028</v>
          </cell>
          <cell r="C88" t="str">
            <v>INPS c/indennità maternità</v>
          </cell>
          <cell r="D88">
            <v>0</v>
          </cell>
          <cell r="E88">
            <v>0</v>
          </cell>
        </row>
        <row r="89">
          <cell r="A89" t="str">
            <v>A</v>
          </cell>
          <cell r="B89">
            <v>80029</v>
          </cell>
          <cell r="C89" t="str">
            <v>Soci c/credito reg. di cassa</v>
          </cell>
          <cell r="D89">
            <v>0</v>
          </cell>
          <cell r="E89">
            <v>0</v>
          </cell>
        </row>
        <row r="90">
          <cell r="A90" t="str">
            <v>A</v>
          </cell>
          <cell r="B90">
            <v>80030</v>
          </cell>
          <cell r="C90" t="str">
            <v>Fornitori c/caparra</v>
          </cell>
          <cell r="D90">
            <v>0</v>
          </cell>
          <cell r="E90">
            <v>0</v>
          </cell>
        </row>
        <row r="91">
          <cell r="A91" t="str">
            <v>A</v>
          </cell>
          <cell r="B91">
            <v>80031</v>
          </cell>
          <cell r="C91" t="str">
            <v>Erario c/IVA a rimborso</v>
          </cell>
          <cell r="D91">
            <v>0</v>
          </cell>
          <cell r="E91">
            <v>0</v>
          </cell>
        </row>
        <row r="92">
          <cell r="A92" t="str">
            <v>A</v>
          </cell>
          <cell r="B92">
            <v>80032</v>
          </cell>
          <cell r="C92" t="str">
            <v>Titolare c/assegnazioni</v>
          </cell>
          <cell r="D92">
            <v>0</v>
          </cell>
          <cell r="E92">
            <v>0</v>
          </cell>
        </row>
        <row r="93">
          <cell r="A93" t="str">
            <v>A</v>
          </cell>
          <cell r="B93">
            <v>80033</v>
          </cell>
          <cell r="C93" t="str">
            <v>Personale c/contributi antic.</v>
          </cell>
          <cell r="D93">
            <v>0</v>
          </cell>
          <cell r="E93">
            <v>0</v>
          </cell>
        </row>
        <row r="94">
          <cell r="A94" t="str">
            <v>A</v>
          </cell>
          <cell r="B94">
            <v>80034</v>
          </cell>
          <cell r="C94" t="str">
            <v>Banca c/incassi</v>
          </cell>
          <cell r="D94">
            <v>0</v>
          </cell>
          <cell r="E94">
            <v>0</v>
          </cell>
        </row>
        <row r="95">
          <cell r="A95" t="str">
            <v>A</v>
          </cell>
          <cell r="B95">
            <v>80035</v>
          </cell>
          <cell r="C95" t="str">
            <v>Soc. partecipante c/divid.</v>
          </cell>
          <cell r="D95">
            <v>0</v>
          </cell>
          <cell r="E95">
            <v>0</v>
          </cell>
        </row>
        <row r="96">
          <cell r="A96" t="str">
            <v>A</v>
          </cell>
          <cell r="B96">
            <v>80036</v>
          </cell>
          <cell r="C96" t="str">
            <v>Erario c/rimb. rit. IRPEF</v>
          </cell>
          <cell r="D96">
            <v>0</v>
          </cell>
          <cell r="E96">
            <v>0</v>
          </cell>
        </row>
        <row r="97">
          <cell r="A97" t="str">
            <v>A</v>
          </cell>
          <cell r="B97">
            <v>80037</v>
          </cell>
          <cell r="C97" t="str">
            <v>Erario c/ Irpef a credito</v>
          </cell>
          <cell r="D97">
            <v>0</v>
          </cell>
          <cell r="E97">
            <v>0</v>
          </cell>
        </row>
        <row r="98">
          <cell r="A98" t="str">
            <v>A</v>
          </cell>
          <cell r="B98">
            <v>80038</v>
          </cell>
          <cell r="C98" t="str">
            <v>Erario c/ILOR a credito</v>
          </cell>
          <cell r="D98">
            <v>0</v>
          </cell>
          <cell r="E98">
            <v>0</v>
          </cell>
        </row>
        <row r="99">
          <cell r="A99" t="str">
            <v>A</v>
          </cell>
          <cell r="B99">
            <v>80039</v>
          </cell>
          <cell r="C99" t="str">
            <v>Erario c/IRPEG a credito</v>
          </cell>
          <cell r="D99">
            <v>0</v>
          </cell>
          <cell r="E99">
            <v>0</v>
          </cell>
        </row>
        <row r="100">
          <cell r="A100" t="str">
            <v>A</v>
          </cell>
          <cell r="B100">
            <v>80040</v>
          </cell>
          <cell r="C100" t="str">
            <v>Titolare c/prelievi</v>
          </cell>
          <cell r="D100">
            <v>0</v>
          </cell>
          <cell r="E100">
            <v>0</v>
          </cell>
        </row>
        <row r="101">
          <cell r="A101" t="str">
            <v>A</v>
          </cell>
          <cell r="B101">
            <v>80041</v>
          </cell>
          <cell r="C101" t="str">
            <v>Banca c/ricevute bancarie</v>
          </cell>
          <cell r="D101">
            <v>0</v>
          </cell>
          <cell r="E101">
            <v>0</v>
          </cell>
        </row>
        <row r="102">
          <cell r="A102" t="str">
            <v>A</v>
          </cell>
          <cell r="B102">
            <v>80042</v>
          </cell>
          <cell r="C102" t="str">
            <v>Fornit. c/antic. immob. mater.</v>
          </cell>
          <cell r="D102">
            <v>0</v>
          </cell>
          <cell r="E102">
            <v>0</v>
          </cell>
        </row>
        <row r="103">
          <cell r="A103" t="str">
            <v>A</v>
          </cell>
          <cell r="B103">
            <v>80043</v>
          </cell>
          <cell r="C103" t="str">
            <v>Fornit. c/antic. imm. immater.</v>
          </cell>
          <cell r="D103">
            <v>0</v>
          </cell>
          <cell r="E103">
            <v>0</v>
          </cell>
        </row>
        <row r="104">
          <cell r="A104" t="str">
            <v>A</v>
          </cell>
          <cell r="B104">
            <v>80044</v>
          </cell>
          <cell r="C104" t="str">
            <v>Erario c/IVA acq. CEE</v>
          </cell>
          <cell r="D104">
            <v>0</v>
          </cell>
          <cell r="E104">
            <v>0</v>
          </cell>
        </row>
        <row r="105">
          <cell r="A105" t="str">
            <v>A</v>
          </cell>
          <cell r="B105">
            <v>9</v>
          </cell>
          <cell r="C105" t="str">
            <v>RATEI E RISCONTI ATTIVI</v>
          </cell>
          <cell r="D105">
            <v>0</v>
          </cell>
          <cell r="E105">
            <v>0</v>
          </cell>
        </row>
        <row r="106">
          <cell r="A106" t="str">
            <v>A</v>
          </cell>
          <cell r="B106">
            <v>90001</v>
          </cell>
          <cell r="C106" t="str">
            <v>Ratei attivi</v>
          </cell>
          <cell r="D106">
            <v>0</v>
          </cell>
          <cell r="E106">
            <v>0</v>
          </cell>
        </row>
        <row r="107">
          <cell r="A107" t="str">
            <v>A</v>
          </cell>
          <cell r="B107">
            <v>90002</v>
          </cell>
          <cell r="C107" t="str">
            <v>Risconti attivi</v>
          </cell>
          <cell r="D107">
            <v>0</v>
          </cell>
          <cell r="E107">
            <v>0</v>
          </cell>
        </row>
        <row r="108">
          <cell r="A108" t="str">
            <v>A</v>
          </cell>
          <cell r="B108">
            <v>90003</v>
          </cell>
          <cell r="C108" t="str">
            <v>Costi anticipati</v>
          </cell>
          <cell r="D108">
            <v>0</v>
          </cell>
          <cell r="E108">
            <v>0</v>
          </cell>
        </row>
        <row r="109">
          <cell r="A109" t="str">
            <v>A</v>
          </cell>
          <cell r="B109">
            <v>10</v>
          </cell>
          <cell r="C109" t="str">
            <v>ERARIO C/ACCONTO</v>
          </cell>
          <cell r="D109">
            <v>0</v>
          </cell>
          <cell r="E109">
            <v>0</v>
          </cell>
        </row>
        <row r="110">
          <cell r="A110" t="str">
            <v>A</v>
          </cell>
          <cell r="B110">
            <v>100001</v>
          </cell>
          <cell r="C110" t="str">
            <v xml:space="preserve">Erario c/ritenute subite </v>
          </cell>
          <cell r="D110">
            <v>0</v>
          </cell>
          <cell r="E110">
            <v>0</v>
          </cell>
        </row>
        <row r="111">
          <cell r="A111" t="str">
            <v>A</v>
          </cell>
          <cell r="B111">
            <v>100002</v>
          </cell>
          <cell r="C111" t="str">
            <v>Erario c/acc. IRPEF</v>
          </cell>
          <cell r="D111">
            <v>0</v>
          </cell>
          <cell r="E111">
            <v>0</v>
          </cell>
        </row>
        <row r="112">
          <cell r="A112" t="str">
            <v>A</v>
          </cell>
          <cell r="B112">
            <v>100003</v>
          </cell>
          <cell r="C112" t="str">
            <v>Erario c/acc. ILOR</v>
          </cell>
          <cell r="D112">
            <v>0</v>
          </cell>
          <cell r="E112">
            <v>0</v>
          </cell>
        </row>
        <row r="113">
          <cell r="A113" t="str">
            <v>A</v>
          </cell>
          <cell r="B113">
            <v>100004</v>
          </cell>
          <cell r="C113" t="str">
            <v>Erario c/acc. addiz. ILOR</v>
          </cell>
          <cell r="D113">
            <v>0</v>
          </cell>
          <cell r="E113">
            <v>0</v>
          </cell>
        </row>
        <row r="114">
          <cell r="A114" t="str">
            <v>A</v>
          </cell>
          <cell r="B114">
            <v>100005</v>
          </cell>
          <cell r="C114" t="str">
            <v>Erario c/acc. IRPEG</v>
          </cell>
          <cell r="D114">
            <v>0</v>
          </cell>
          <cell r="E114">
            <v>0</v>
          </cell>
        </row>
        <row r="115">
          <cell r="A115" t="str">
            <v>A</v>
          </cell>
          <cell r="B115">
            <v>100006</v>
          </cell>
          <cell r="C115" t="str">
            <v>Erario c/acc. rit. interessi</v>
          </cell>
          <cell r="D115">
            <v>0</v>
          </cell>
          <cell r="E115">
            <v>0</v>
          </cell>
        </row>
        <row r="116">
          <cell r="A116" t="str">
            <v>A</v>
          </cell>
          <cell r="B116">
            <v>100007</v>
          </cell>
          <cell r="C116" t="str">
            <v>Erario c/cong. IRPEF dip.</v>
          </cell>
          <cell r="D116">
            <v>0</v>
          </cell>
          <cell r="E116">
            <v>0</v>
          </cell>
        </row>
        <row r="117">
          <cell r="A117" t="str">
            <v>A</v>
          </cell>
          <cell r="B117">
            <v>100008</v>
          </cell>
          <cell r="C117" t="str">
            <v>Erario c/ced. acc. subita</v>
          </cell>
          <cell r="D117">
            <v>0</v>
          </cell>
          <cell r="E117">
            <v>0</v>
          </cell>
        </row>
        <row r="118">
          <cell r="A118" t="str">
            <v>A</v>
          </cell>
          <cell r="B118">
            <v>100009</v>
          </cell>
          <cell r="C118" t="str">
            <v>Erario c/credito imposta</v>
          </cell>
          <cell r="D118">
            <v>0</v>
          </cell>
          <cell r="E118">
            <v>0</v>
          </cell>
        </row>
        <row r="119">
          <cell r="A119" t="str">
            <v>A</v>
          </cell>
          <cell r="B119">
            <v>100010</v>
          </cell>
          <cell r="C119" t="str">
            <v>Erario c/acc. IVA</v>
          </cell>
          <cell r="D119">
            <v>0</v>
          </cell>
          <cell r="E119">
            <v>0</v>
          </cell>
        </row>
        <row r="120">
          <cell r="A120" t="str">
            <v>A</v>
          </cell>
          <cell r="B120">
            <v>100011</v>
          </cell>
          <cell r="C120" t="str">
            <v>INPS c/acc. S.S.N.</v>
          </cell>
          <cell r="D120">
            <v>0</v>
          </cell>
          <cell r="E120">
            <v>0</v>
          </cell>
        </row>
        <row r="121">
          <cell r="A121" t="str">
            <v>A</v>
          </cell>
          <cell r="B121">
            <v>11</v>
          </cell>
          <cell r="C121" t="str">
            <v>CASSA</v>
          </cell>
          <cell r="D121">
            <v>407100</v>
          </cell>
          <cell r="E121">
            <v>339130</v>
          </cell>
        </row>
        <row r="122">
          <cell r="A122" t="str">
            <v>A</v>
          </cell>
          <cell r="B122">
            <v>110001</v>
          </cell>
          <cell r="C122" t="str">
            <v>Cassa contanti</v>
          </cell>
          <cell r="D122">
            <v>407100</v>
          </cell>
          <cell r="E122">
            <v>339130</v>
          </cell>
        </row>
        <row r="123">
          <cell r="A123" t="str">
            <v>A</v>
          </cell>
          <cell r="B123">
            <v>110002</v>
          </cell>
          <cell r="C123" t="str">
            <v>Cassa valori bollati</v>
          </cell>
          <cell r="D123">
            <v>0</v>
          </cell>
          <cell r="E123">
            <v>0</v>
          </cell>
        </row>
        <row r="124">
          <cell r="A124" t="str">
            <v>A</v>
          </cell>
          <cell r="B124">
            <v>110003</v>
          </cell>
          <cell r="C124" t="str">
            <v>Cassa assegni</v>
          </cell>
          <cell r="D124">
            <v>0</v>
          </cell>
          <cell r="E124">
            <v>0</v>
          </cell>
        </row>
        <row r="125">
          <cell r="A125" t="str">
            <v>A</v>
          </cell>
          <cell r="B125">
            <v>11</v>
          </cell>
          <cell r="C125" t="str">
            <v>PERDITE ESERCIZI PREC.</v>
          </cell>
          <cell r="D125">
            <v>0</v>
          </cell>
          <cell r="E125">
            <v>0</v>
          </cell>
        </row>
        <row r="126">
          <cell r="A126" t="str">
            <v>A</v>
          </cell>
          <cell r="B126">
            <v>110001</v>
          </cell>
          <cell r="C126" t="str">
            <v>Perdita esercizio prec.</v>
          </cell>
          <cell r="D126">
            <v>0</v>
          </cell>
          <cell r="E126">
            <v>0</v>
          </cell>
        </row>
        <row r="127">
          <cell r="C127" t="str">
            <v>TOTALE ATTIVO</v>
          </cell>
          <cell r="D127">
            <v>75259295</v>
          </cell>
          <cell r="E127">
            <v>115032648</v>
          </cell>
        </row>
        <row r="128">
          <cell r="C128" t="str">
            <v/>
          </cell>
          <cell r="D128">
            <v>0</v>
          </cell>
          <cell r="E128">
            <v>0</v>
          </cell>
        </row>
        <row r="129">
          <cell r="C129" t="str">
            <v>TOTALE A PAREGGIO</v>
          </cell>
          <cell r="D129">
            <v>75259295</v>
          </cell>
          <cell r="E129">
            <v>115032648</v>
          </cell>
        </row>
        <row r="131">
          <cell r="A131" t="str">
            <v>STATO PATRIMONIALE - PASSIVITA'</v>
          </cell>
        </row>
        <row r="132">
          <cell r="A132" t="str">
            <v>P</v>
          </cell>
          <cell r="B132">
            <v>13</v>
          </cell>
          <cell r="C132" t="str">
            <v>MUTUI PASSIVI</v>
          </cell>
          <cell r="D132">
            <v>0</v>
          </cell>
          <cell r="E132">
            <v>0</v>
          </cell>
        </row>
        <row r="133">
          <cell r="A133" t="str">
            <v>P</v>
          </cell>
          <cell r="B133">
            <v>130001</v>
          </cell>
          <cell r="C133" t="str">
            <v>Prestiti da terzi entro l'anno</v>
          </cell>
          <cell r="D133">
            <v>0</v>
          </cell>
          <cell r="E133">
            <v>0</v>
          </cell>
        </row>
        <row r="134">
          <cell r="A134" t="str">
            <v>P</v>
          </cell>
          <cell r="B134">
            <v>130002</v>
          </cell>
          <cell r="C134" t="str">
            <v>Prestiti da terzi oltre l'anno</v>
          </cell>
          <cell r="D134">
            <v>0</v>
          </cell>
          <cell r="E134">
            <v>0</v>
          </cell>
        </row>
        <row r="135">
          <cell r="A135" t="str">
            <v>P</v>
          </cell>
          <cell r="B135">
            <v>130003</v>
          </cell>
          <cell r="C135" t="str">
            <v>Prestiti da banche entro l'anno</v>
          </cell>
          <cell r="D135">
            <v>0</v>
          </cell>
          <cell r="E135">
            <v>0</v>
          </cell>
        </row>
        <row r="136">
          <cell r="A136" t="str">
            <v>P</v>
          </cell>
          <cell r="B136">
            <v>130004</v>
          </cell>
          <cell r="C136" t="str">
            <v>Prestiti da banche oltre l'anno</v>
          </cell>
          <cell r="D136">
            <v>0</v>
          </cell>
          <cell r="E136">
            <v>0</v>
          </cell>
        </row>
        <row r="137">
          <cell r="A137" t="str">
            <v>P</v>
          </cell>
          <cell r="B137">
            <v>14</v>
          </cell>
          <cell r="C137" t="str">
            <v>DEBITI V/FORNITORI</v>
          </cell>
          <cell r="D137">
            <v>25728455</v>
          </cell>
          <cell r="E137">
            <v>47396808</v>
          </cell>
        </row>
        <row r="138">
          <cell r="A138" t="str">
            <v>P</v>
          </cell>
          <cell r="B138">
            <v>140001</v>
          </cell>
          <cell r="C138" t="str">
            <v>Debiti  v/fornitori entro l'anno</v>
          </cell>
          <cell r="D138">
            <v>25728455</v>
          </cell>
          <cell r="E138">
            <v>47396808</v>
          </cell>
        </row>
        <row r="139">
          <cell r="A139" t="str">
            <v>P</v>
          </cell>
          <cell r="B139">
            <v>140002</v>
          </cell>
          <cell r="C139" t="str">
            <v>Debiti  v/fornitori oltre l'anno</v>
          </cell>
          <cell r="D139">
            <v>0</v>
          </cell>
          <cell r="E139">
            <v>0</v>
          </cell>
        </row>
        <row r="140">
          <cell r="A140" t="str">
            <v>P</v>
          </cell>
          <cell r="B140">
            <v>15</v>
          </cell>
          <cell r="C140" t="str">
            <v>DEBITI DIVERSI</v>
          </cell>
          <cell r="D140">
            <v>204760</v>
          </cell>
          <cell r="E140">
            <v>7487</v>
          </cell>
        </row>
        <row r="141">
          <cell r="A141" t="str">
            <v>P</v>
          </cell>
          <cell r="B141">
            <v>150001</v>
          </cell>
          <cell r="C141" t="str">
            <v>Debiti v/banche entro l'anno</v>
          </cell>
          <cell r="D141">
            <v>0</v>
          </cell>
          <cell r="E141">
            <v>0</v>
          </cell>
        </row>
        <row r="142">
          <cell r="A142" t="str">
            <v>P</v>
          </cell>
          <cell r="B142">
            <v>150002</v>
          </cell>
          <cell r="C142" t="str">
            <v>Debiti v/banche oltre l'anno</v>
          </cell>
          <cell r="D142">
            <v>0</v>
          </cell>
          <cell r="E142">
            <v>0</v>
          </cell>
        </row>
        <row r="143">
          <cell r="A143" t="str">
            <v>P</v>
          </cell>
          <cell r="B143">
            <v>150003</v>
          </cell>
          <cell r="C143" t="str">
            <v>Personale c/retribuzioni</v>
          </cell>
          <cell r="D143">
            <v>0</v>
          </cell>
          <cell r="E143">
            <v>0</v>
          </cell>
        </row>
        <row r="144">
          <cell r="A144" t="str">
            <v>P</v>
          </cell>
          <cell r="B144">
            <v>150004</v>
          </cell>
          <cell r="C144" t="str">
            <v>INPS c/contributi</v>
          </cell>
          <cell r="D144">
            <v>0</v>
          </cell>
          <cell r="E144">
            <v>0</v>
          </cell>
        </row>
        <row r="145">
          <cell r="A145" t="str">
            <v>P</v>
          </cell>
          <cell r="B145">
            <v>150005</v>
          </cell>
          <cell r="C145" t="str">
            <v>INPS c/debiti</v>
          </cell>
          <cell r="D145">
            <v>204760</v>
          </cell>
          <cell r="E145">
            <v>0</v>
          </cell>
        </row>
        <row r="146">
          <cell r="A146" t="str">
            <v>P</v>
          </cell>
          <cell r="B146">
            <v>150006</v>
          </cell>
          <cell r="C146" t="str">
            <v>INAIL c/debiti</v>
          </cell>
          <cell r="D146">
            <v>0</v>
          </cell>
          <cell r="E146">
            <v>0</v>
          </cell>
        </row>
        <row r="147">
          <cell r="A147" t="str">
            <v>P</v>
          </cell>
          <cell r="B147">
            <v>150007</v>
          </cell>
          <cell r="C147" t="str">
            <v>Debito INPS c/SSN</v>
          </cell>
          <cell r="D147">
            <v>0</v>
          </cell>
          <cell r="E147">
            <v>0</v>
          </cell>
        </row>
        <row r="148">
          <cell r="A148" t="str">
            <v>P</v>
          </cell>
          <cell r="B148">
            <v>150008</v>
          </cell>
          <cell r="C148" t="str">
            <v>Debiti SCAU (contr. agr.)</v>
          </cell>
          <cell r="D148">
            <v>0</v>
          </cell>
          <cell r="E148">
            <v>0</v>
          </cell>
        </row>
        <row r="149">
          <cell r="A149" t="str">
            <v>P</v>
          </cell>
          <cell r="B149">
            <v>150009</v>
          </cell>
          <cell r="C149" t="str">
            <v>Erario c/rit. d'acc. dip.</v>
          </cell>
          <cell r="D149">
            <v>0</v>
          </cell>
          <cell r="E149">
            <v>7487</v>
          </cell>
        </row>
        <row r="150">
          <cell r="A150" t="str">
            <v>P</v>
          </cell>
          <cell r="B150">
            <v>150010</v>
          </cell>
          <cell r="C150" t="str">
            <v>Erario c/rit.lav. aut.</v>
          </cell>
          <cell r="D150">
            <v>0</v>
          </cell>
          <cell r="E150">
            <v>0</v>
          </cell>
        </row>
        <row r="151">
          <cell r="A151" t="str">
            <v>P</v>
          </cell>
          <cell r="B151">
            <v>150011</v>
          </cell>
          <cell r="C151" t="str">
            <v>Erario c/rit. amm.</v>
          </cell>
          <cell r="D151">
            <v>0</v>
          </cell>
          <cell r="E151">
            <v>0</v>
          </cell>
        </row>
        <row r="152">
          <cell r="A152" t="str">
            <v>P</v>
          </cell>
          <cell r="B152">
            <v>150012</v>
          </cell>
          <cell r="C152" t="str">
            <v>Erario c/rit. rappr.</v>
          </cell>
          <cell r="D152">
            <v>0</v>
          </cell>
          <cell r="E152">
            <v>0</v>
          </cell>
        </row>
        <row r="153">
          <cell r="A153" t="str">
            <v>P</v>
          </cell>
          <cell r="B153">
            <v>150013</v>
          </cell>
          <cell r="C153" t="str">
            <v>Erario c/rit. Enasarco</v>
          </cell>
          <cell r="D153">
            <v>0</v>
          </cell>
          <cell r="E153">
            <v>0</v>
          </cell>
        </row>
        <row r="154">
          <cell r="A154" t="str">
            <v>P</v>
          </cell>
          <cell r="B154">
            <v>150014</v>
          </cell>
          <cell r="C154" t="str">
            <v>Erario c/cedolare acconto</v>
          </cell>
          <cell r="D154">
            <v>0</v>
          </cell>
          <cell r="E154">
            <v>0</v>
          </cell>
        </row>
        <row r="155">
          <cell r="A155" t="str">
            <v>P</v>
          </cell>
          <cell r="B155">
            <v>150015</v>
          </cell>
          <cell r="C155" t="str">
            <v>Erario c/IVA da condono</v>
          </cell>
          <cell r="D155">
            <v>0</v>
          </cell>
          <cell r="E155">
            <v>0</v>
          </cell>
        </row>
        <row r="156">
          <cell r="A156" t="str">
            <v>P</v>
          </cell>
          <cell r="B156">
            <v>150016</v>
          </cell>
          <cell r="C156" t="str">
            <v>Erario c/Imposte da condono</v>
          </cell>
          <cell r="D156">
            <v>0</v>
          </cell>
          <cell r="E156">
            <v>0</v>
          </cell>
        </row>
        <row r="157">
          <cell r="A157" t="str">
            <v>P</v>
          </cell>
          <cell r="B157">
            <v>150017</v>
          </cell>
          <cell r="C157" t="str">
            <v>Erario c/imposta patrimoniale</v>
          </cell>
          <cell r="D157">
            <v>0</v>
          </cell>
          <cell r="E157">
            <v>0</v>
          </cell>
        </row>
        <row r="158">
          <cell r="A158" t="str">
            <v>P</v>
          </cell>
          <cell r="B158">
            <v>150018</v>
          </cell>
          <cell r="C158" t="str">
            <v>Erario c/imposte</v>
          </cell>
          <cell r="D158">
            <v>0</v>
          </cell>
          <cell r="E158">
            <v>0</v>
          </cell>
        </row>
        <row r="159">
          <cell r="A159" t="str">
            <v>P</v>
          </cell>
          <cell r="B159">
            <v>150019</v>
          </cell>
          <cell r="C159" t="str">
            <v>Erario c/IVA deb. liq. period.</v>
          </cell>
          <cell r="D159">
            <v>0</v>
          </cell>
          <cell r="E159">
            <v>0</v>
          </cell>
        </row>
        <row r="160">
          <cell r="A160" t="str">
            <v>P</v>
          </cell>
          <cell r="B160">
            <v>150020</v>
          </cell>
          <cell r="C160" t="str">
            <v>IVA in sospensione</v>
          </cell>
          <cell r="D160">
            <v>0</v>
          </cell>
          <cell r="E160">
            <v>0</v>
          </cell>
        </row>
        <row r="161">
          <cell r="A161" t="str">
            <v>P</v>
          </cell>
          <cell r="B161">
            <v>150021</v>
          </cell>
          <cell r="C161" t="str">
            <v>Debiti IVA liq. &lt; 50.000</v>
          </cell>
          <cell r="D161">
            <v>0</v>
          </cell>
          <cell r="E161">
            <v>0</v>
          </cell>
        </row>
        <row r="162">
          <cell r="A162" t="str">
            <v>P</v>
          </cell>
          <cell r="B162">
            <v>150022</v>
          </cell>
          <cell r="C162" t="str">
            <v>Sindacato c/contr. dip.</v>
          </cell>
          <cell r="D162">
            <v>0</v>
          </cell>
          <cell r="E162">
            <v>0</v>
          </cell>
        </row>
        <row r="163">
          <cell r="A163" t="str">
            <v>P</v>
          </cell>
          <cell r="B163">
            <v>150023</v>
          </cell>
          <cell r="C163" t="str">
            <v>Personale c/licenz.</v>
          </cell>
          <cell r="D163">
            <v>0</v>
          </cell>
          <cell r="E163">
            <v>0</v>
          </cell>
        </row>
        <row r="164">
          <cell r="A164" t="str">
            <v>P</v>
          </cell>
          <cell r="B164">
            <v>150024</v>
          </cell>
          <cell r="C164" t="str">
            <v>Operai c/vertenze</v>
          </cell>
          <cell r="D164">
            <v>0</v>
          </cell>
          <cell r="E164">
            <v>0</v>
          </cell>
        </row>
        <row r="165">
          <cell r="A165" t="str">
            <v>P</v>
          </cell>
          <cell r="B165">
            <v>150025</v>
          </cell>
          <cell r="C165" t="str">
            <v>Cassa edile</v>
          </cell>
          <cell r="D165">
            <v>0</v>
          </cell>
          <cell r="E165">
            <v>0</v>
          </cell>
        </row>
        <row r="166">
          <cell r="A166" t="str">
            <v>P</v>
          </cell>
          <cell r="B166">
            <v>150026</v>
          </cell>
          <cell r="C166" t="str">
            <v>Soci c/finanziamenti</v>
          </cell>
          <cell r="D166">
            <v>0</v>
          </cell>
          <cell r="E166">
            <v>0</v>
          </cell>
        </row>
        <row r="167">
          <cell r="A167" t="str">
            <v>P</v>
          </cell>
          <cell r="B167">
            <v>150027</v>
          </cell>
          <cell r="C167" t="str">
            <v>Debiti c/leasing</v>
          </cell>
          <cell r="D167">
            <v>0</v>
          </cell>
          <cell r="E167">
            <v>0</v>
          </cell>
        </row>
        <row r="168">
          <cell r="A168" t="str">
            <v>P</v>
          </cell>
          <cell r="B168">
            <v>150028</v>
          </cell>
          <cell r="C168" t="str">
            <v>Debiti c/cessione</v>
          </cell>
          <cell r="D168">
            <v>0</v>
          </cell>
          <cell r="E168">
            <v>0</v>
          </cell>
        </row>
        <row r="169">
          <cell r="A169" t="str">
            <v>P</v>
          </cell>
          <cell r="B169">
            <v>150029</v>
          </cell>
          <cell r="C169" t="str">
            <v>Fatture da ricevere</v>
          </cell>
          <cell r="D169">
            <v>0</v>
          </cell>
          <cell r="E169">
            <v>0</v>
          </cell>
        </row>
        <row r="170">
          <cell r="A170" t="str">
            <v>P</v>
          </cell>
          <cell r="B170">
            <v>150030</v>
          </cell>
          <cell r="C170" t="str">
            <v>Associato c/finanziamenti</v>
          </cell>
          <cell r="D170">
            <v>0</v>
          </cell>
          <cell r="E170">
            <v>0</v>
          </cell>
        </row>
        <row r="171">
          <cell r="A171" t="str">
            <v>P</v>
          </cell>
          <cell r="B171">
            <v>150031</v>
          </cell>
          <cell r="C171" t="str">
            <v>Associato c/competenze</v>
          </cell>
          <cell r="D171">
            <v>0</v>
          </cell>
          <cell r="E171">
            <v>0</v>
          </cell>
        </row>
        <row r="172">
          <cell r="A172" t="str">
            <v>P</v>
          </cell>
          <cell r="B172">
            <v>150032</v>
          </cell>
          <cell r="C172" t="str">
            <v>Assoc. c/partecipaz.</v>
          </cell>
          <cell r="D172">
            <v>0</v>
          </cell>
          <cell r="E172">
            <v>0</v>
          </cell>
        </row>
        <row r="173">
          <cell r="A173" t="str">
            <v>P</v>
          </cell>
          <cell r="B173">
            <v>150033</v>
          </cell>
          <cell r="C173" t="str">
            <v>Società c/partecipaz.</v>
          </cell>
          <cell r="D173">
            <v>0</v>
          </cell>
          <cell r="E173">
            <v>0</v>
          </cell>
        </row>
        <row r="174">
          <cell r="A174" t="str">
            <v>P</v>
          </cell>
          <cell r="B174">
            <v>150034</v>
          </cell>
          <cell r="C174" t="str">
            <v>Fatture da ricevere transitorio</v>
          </cell>
          <cell r="D174">
            <v>0</v>
          </cell>
          <cell r="E174">
            <v>0</v>
          </cell>
        </row>
        <row r="175">
          <cell r="A175" t="str">
            <v>P</v>
          </cell>
          <cell r="B175">
            <v>150035</v>
          </cell>
          <cell r="C175" t="str">
            <v>Amministratori c/anticipi</v>
          </cell>
          <cell r="D175">
            <v>0</v>
          </cell>
          <cell r="E175">
            <v>0</v>
          </cell>
        </row>
        <row r="176">
          <cell r="A176" t="str">
            <v>P</v>
          </cell>
          <cell r="B176">
            <v>150036</v>
          </cell>
          <cell r="C176" t="str">
            <v>Amministr. c/compensi</v>
          </cell>
          <cell r="D176">
            <v>0</v>
          </cell>
          <cell r="E176">
            <v>0</v>
          </cell>
        </row>
        <row r="177">
          <cell r="A177" t="str">
            <v>P</v>
          </cell>
          <cell r="B177">
            <v>150037</v>
          </cell>
          <cell r="C177" t="str">
            <v>Titolare c/apporti</v>
          </cell>
          <cell r="D177">
            <v>0</v>
          </cell>
          <cell r="E177">
            <v>0</v>
          </cell>
        </row>
        <row r="178">
          <cell r="A178" t="str">
            <v>P</v>
          </cell>
          <cell r="B178">
            <v>150038</v>
          </cell>
          <cell r="C178" t="str">
            <v>Debiti v/soci</v>
          </cell>
          <cell r="D178">
            <v>0</v>
          </cell>
          <cell r="E178">
            <v>0</v>
          </cell>
        </row>
        <row r="179">
          <cell r="A179" t="str">
            <v>P</v>
          </cell>
          <cell r="B179">
            <v>150039</v>
          </cell>
          <cell r="C179" t="str">
            <v>Soci c/utili da ripart.</v>
          </cell>
          <cell r="D179">
            <v>0</v>
          </cell>
          <cell r="E179">
            <v>0</v>
          </cell>
        </row>
        <row r="180">
          <cell r="A180" t="str">
            <v>P</v>
          </cell>
          <cell r="B180">
            <v>150040</v>
          </cell>
          <cell r="C180" t="str">
            <v>Soci c/anticipi</v>
          </cell>
          <cell r="D180">
            <v>0</v>
          </cell>
          <cell r="E180">
            <v>0</v>
          </cell>
        </row>
        <row r="181">
          <cell r="A181" t="str">
            <v>P</v>
          </cell>
          <cell r="B181">
            <v>150041</v>
          </cell>
          <cell r="C181" t="str">
            <v>Clienti c/anticipi</v>
          </cell>
          <cell r="D181">
            <v>0</v>
          </cell>
          <cell r="E181">
            <v>0</v>
          </cell>
        </row>
        <row r="182">
          <cell r="A182" t="str">
            <v>P</v>
          </cell>
          <cell r="B182">
            <v>150042</v>
          </cell>
          <cell r="C182" t="str">
            <v>Banca c/anticipi ric. banc.</v>
          </cell>
          <cell r="D182">
            <v>0</v>
          </cell>
          <cell r="E182">
            <v>0</v>
          </cell>
        </row>
        <row r="183">
          <cell r="A183" t="str">
            <v>P</v>
          </cell>
          <cell r="B183">
            <v>150043</v>
          </cell>
          <cell r="C183" t="str">
            <v>Altri debiti entro l'anno</v>
          </cell>
          <cell r="D183">
            <v>0</v>
          </cell>
          <cell r="E183">
            <v>0</v>
          </cell>
        </row>
        <row r="184">
          <cell r="A184" t="str">
            <v>P</v>
          </cell>
          <cell r="B184">
            <v>150044</v>
          </cell>
          <cell r="C184" t="str">
            <v>Altri debiti oltre l'anno</v>
          </cell>
          <cell r="D184">
            <v>0</v>
          </cell>
          <cell r="E184">
            <v>0</v>
          </cell>
        </row>
        <row r="185">
          <cell r="A185" t="str">
            <v>P</v>
          </cell>
          <cell r="B185">
            <v>16</v>
          </cell>
          <cell r="C185" t="str">
            <v>PORTAFOGLIO PASSIVO</v>
          </cell>
          <cell r="D185">
            <v>0</v>
          </cell>
          <cell r="E185">
            <v>0</v>
          </cell>
        </row>
        <row r="186">
          <cell r="A186" t="str">
            <v>P</v>
          </cell>
          <cell r="B186">
            <v>160001</v>
          </cell>
          <cell r="C186" t="str">
            <v>Effetti passivi entro l'anno</v>
          </cell>
          <cell r="D186">
            <v>0</v>
          </cell>
          <cell r="E186">
            <v>0</v>
          </cell>
        </row>
        <row r="187">
          <cell r="B187">
            <v>160002</v>
          </cell>
          <cell r="C187" t="str">
            <v>Effetti passivi oltre l'anno</v>
          </cell>
          <cell r="D187">
            <v>0</v>
          </cell>
          <cell r="E187">
            <v>0</v>
          </cell>
        </row>
        <row r="188">
          <cell r="B188">
            <v>160003</v>
          </cell>
          <cell r="C188" t="str">
            <v>Eff. pass.ins.e prot.entro l'anno</v>
          </cell>
          <cell r="D188">
            <v>0</v>
          </cell>
          <cell r="E188">
            <v>0</v>
          </cell>
        </row>
        <row r="189">
          <cell r="A189" t="str">
            <v>P</v>
          </cell>
          <cell r="B189">
            <v>160004</v>
          </cell>
          <cell r="C189" t="str">
            <v>Eff. pass.ins.e prot.oltre l'anno</v>
          </cell>
          <cell r="D189">
            <v>0</v>
          </cell>
          <cell r="E189">
            <v>0</v>
          </cell>
        </row>
        <row r="190">
          <cell r="A190" t="str">
            <v>P</v>
          </cell>
          <cell r="B190">
            <v>160005</v>
          </cell>
          <cell r="C190" t="str">
            <v>Sovvenzioni garantite</v>
          </cell>
          <cell r="D190">
            <v>0</v>
          </cell>
          <cell r="E190">
            <v>0</v>
          </cell>
        </row>
        <row r="191">
          <cell r="A191" t="str">
            <v>P</v>
          </cell>
          <cell r="B191">
            <v>17</v>
          </cell>
          <cell r="C191" t="str">
            <v>FONDI DI AMMORTAMENTO</v>
          </cell>
          <cell r="D191">
            <v>12138706</v>
          </cell>
          <cell r="E191">
            <v>12138706</v>
          </cell>
        </row>
        <row r="192">
          <cell r="A192" t="str">
            <v>P</v>
          </cell>
          <cell r="B192">
            <v>170001</v>
          </cell>
          <cell r="C192" t="str">
            <v>Fondo amm. altri beni</v>
          </cell>
          <cell r="D192">
            <v>4046216</v>
          </cell>
          <cell r="E192">
            <v>4046216</v>
          </cell>
        </row>
        <row r="193">
          <cell r="A193" t="str">
            <v>P</v>
          </cell>
          <cell r="B193">
            <v>170002</v>
          </cell>
          <cell r="C193" t="str">
            <v>Fondo amm. fabbr. industr.</v>
          </cell>
          <cell r="D193">
            <v>0</v>
          </cell>
          <cell r="E193">
            <v>0</v>
          </cell>
        </row>
        <row r="194">
          <cell r="A194" t="str">
            <v>P</v>
          </cell>
          <cell r="B194">
            <v>170003</v>
          </cell>
          <cell r="C194" t="str">
            <v>Fondo amm. fabbr. commerc.</v>
          </cell>
          <cell r="D194">
            <v>0</v>
          </cell>
          <cell r="E194">
            <v>0</v>
          </cell>
        </row>
        <row r="195">
          <cell r="A195" t="str">
            <v>P</v>
          </cell>
          <cell r="B195">
            <v>170004</v>
          </cell>
          <cell r="C195" t="str">
            <v>Fondo amm. automezzi</v>
          </cell>
          <cell r="D195">
            <v>0</v>
          </cell>
          <cell r="E195">
            <v>0</v>
          </cell>
        </row>
        <row r="196">
          <cell r="A196" t="str">
            <v>P</v>
          </cell>
          <cell r="B196">
            <v>170005</v>
          </cell>
          <cell r="C196" t="str">
            <v>Fondo amm. spese d'impianto</v>
          </cell>
          <cell r="D196">
            <v>0</v>
          </cell>
          <cell r="E196">
            <v>0</v>
          </cell>
        </row>
        <row r="197">
          <cell r="A197" t="str">
            <v>P</v>
          </cell>
          <cell r="B197">
            <v>170006</v>
          </cell>
          <cell r="C197" t="str">
            <v>Fondo amm. avviamento</v>
          </cell>
          <cell r="D197">
            <v>0</v>
          </cell>
          <cell r="E197">
            <v>0</v>
          </cell>
        </row>
        <row r="198">
          <cell r="A198" t="str">
            <v>P</v>
          </cell>
          <cell r="B198">
            <v>170007</v>
          </cell>
          <cell r="C198" t="str">
            <v>Fondo amm. macch. e imp.</v>
          </cell>
          <cell r="D198">
            <v>3187995</v>
          </cell>
          <cell r="E198">
            <v>3187995</v>
          </cell>
        </row>
        <row r="199">
          <cell r="A199" t="str">
            <v>P</v>
          </cell>
          <cell r="B199">
            <v>170008</v>
          </cell>
          <cell r="C199" t="str">
            <v xml:space="preserve">Fondo amm. attrezzature </v>
          </cell>
          <cell r="D199">
            <v>4059551</v>
          </cell>
          <cell r="E199">
            <v>4059551</v>
          </cell>
        </row>
        <row r="200">
          <cell r="A200" t="str">
            <v>P</v>
          </cell>
          <cell r="B200">
            <v>170009</v>
          </cell>
          <cell r="C200" t="str">
            <v>Fondo amm. mobili e arredi</v>
          </cell>
          <cell r="D200">
            <v>493760</v>
          </cell>
          <cell r="E200">
            <v>493760</v>
          </cell>
        </row>
        <row r="201">
          <cell r="A201" t="str">
            <v>P</v>
          </cell>
          <cell r="B201">
            <v>170010</v>
          </cell>
          <cell r="C201" t="str">
            <v>Fondo amm. macch. d'ufficio</v>
          </cell>
          <cell r="D201">
            <v>0</v>
          </cell>
          <cell r="E201">
            <v>0</v>
          </cell>
        </row>
        <row r="202">
          <cell r="A202" t="str">
            <v>P</v>
          </cell>
          <cell r="B202">
            <v>170011</v>
          </cell>
          <cell r="C202" t="str">
            <v>F.do amm.macch.elettrocont.</v>
          </cell>
          <cell r="D202">
            <v>0</v>
          </cell>
          <cell r="E202">
            <v>0</v>
          </cell>
        </row>
        <row r="203">
          <cell r="A203" t="str">
            <v>P</v>
          </cell>
          <cell r="B203">
            <v>170012</v>
          </cell>
          <cell r="C203" t="str">
            <v>Fondo amm. fabb. in econom.</v>
          </cell>
          <cell r="D203">
            <v>0</v>
          </cell>
          <cell r="E203">
            <v>0</v>
          </cell>
        </row>
        <row r="204">
          <cell r="A204" t="str">
            <v>P</v>
          </cell>
          <cell r="B204">
            <v>170013</v>
          </cell>
          <cell r="C204" t="str">
            <v>Fondo amm. imp. d'illum.</v>
          </cell>
          <cell r="D204">
            <v>0</v>
          </cell>
          <cell r="E204">
            <v>0</v>
          </cell>
        </row>
        <row r="205">
          <cell r="A205" t="str">
            <v>P</v>
          </cell>
          <cell r="B205">
            <v>170014</v>
          </cell>
          <cell r="C205" t="str">
            <v>Fondo amm. leasing</v>
          </cell>
          <cell r="D205">
            <v>0</v>
          </cell>
          <cell r="E205">
            <v>0</v>
          </cell>
        </row>
        <row r="206">
          <cell r="A206" t="str">
            <v>P</v>
          </cell>
          <cell r="B206">
            <v>170015</v>
          </cell>
          <cell r="C206" t="str">
            <v>Fondo amm. beni &lt; 1.000.000</v>
          </cell>
          <cell r="D206">
            <v>0</v>
          </cell>
          <cell r="E206">
            <v>0</v>
          </cell>
        </row>
        <row r="207">
          <cell r="A207" t="str">
            <v>P</v>
          </cell>
          <cell r="B207">
            <v>170016</v>
          </cell>
          <cell r="C207" t="str">
            <v>F.do amm. antic. automezzi</v>
          </cell>
          <cell r="D207">
            <v>0</v>
          </cell>
          <cell r="E207">
            <v>0</v>
          </cell>
        </row>
        <row r="208">
          <cell r="A208" t="str">
            <v>P</v>
          </cell>
          <cell r="B208">
            <v>170017</v>
          </cell>
          <cell r="C208" t="str">
            <v>F.do amm. antic. mac. e imp.</v>
          </cell>
          <cell r="D208">
            <v>0</v>
          </cell>
          <cell r="E208">
            <v>0</v>
          </cell>
        </row>
        <row r="209">
          <cell r="A209" t="str">
            <v>P</v>
          </cell>
          <cell r="B209">
            <v>170018</v>
          </cell>
          <cell r="C209" t="str">
            <v>F.do amm. antic. attrezz.</v>
          </cell>
          <cell r="D209">
            <v>351184</v>
          </cell>
          <cell r="E209">
            <v>351184</v>
          </cell>
        </row>
        <row r="210">
          <cell r="A210" t="str">
            <v>P</v>
          </cell>
          <cell r="B210">
            <v>170019</v>
          </cell>
          <cell r="C210" t="str">
            <v>F.do amm. antic. mobili e arr.</v>
          </cell>
          <cell r="D210">
            <v>0</v>
          </cell>
          <cell r="E210">
            <v>0</v>
          </cell>
        </row>
        <row r="211">
          <cell r="A211" t="str">
            <v>P</v>
          </cell>
          <cell r="B211">
            <v>170020</v>
          </cell>
          <cell r="C211" t="str">
            <v>F.do amm. antic. macch. d'uff.</v>
          </cell>
          <cell r="D211">
            <v>0</v>
          </cell>
          <cell r="E211">
            <v>0</v>
          </cell>
        </row>
        <row r="212">
          <cell r="A212" t="str">
            <v>P</v>
          </cell>
          <cell r="B212">
            <v>170021</v>
          </cell>
          <cell r="C212" t="str">
            <v>F.do amm. antic. macch. el.</v>
          </cell>
          <cell r="D212">
            <v>0</v>
          </cell>
          <cell r="E212">
            <v>0</v>
          </cell>
        </row>
        <row r="213">
          <cell r="A213" t="str">
            <v>P</v>
          </cell>
          <cell r="B213">
            <v>170022</v>
          </cell>
          <cell r="C213" t="str">
            <v>F.do amm. antic. fabb. in ec.</v>
          </cell>
          <cell r="D213">
            <v>0</v>
          </cell>
          <cell r="E213">
            <v>0</v>
          </cell>
        </row>
        <row r="214">
          <cell r="A214" t="str">
            <v>P</v>
          </cell>
          <cell r="B214">
            <v>170023</v>
          </cell>
          <cell r="C214" t="str">
            <v>F.do amm. antic. imp. illum.</v>
          </cell>
          <cell r="D214">
            <v>0</v>
          </cell>
          <cell r="E214">
            <v>0</v>
          </cell>
        </row>
        <row r="215">
          <cell r="A215" t="str">
            <v>P</v>
          </cell>
          <cell r="B215">
            <v>170024</v>
          </cell>
          <cell r="C215" t="str">
            <v>Fondo amm. beni &lt; 50.000</v>
          </cell>
          <cell r="D215">
            <v>0</v>
          </cell>
          <cell r="E215">
            <v>0</v>
          </cell>
        </row>
        <row r="216">
          <cell r="A216" t="str">
            <v>P</v>
          </cell>
          <cell r="B216">
            <v>170025</v>
          </cell>
          <cell r="C216" t="str">
            <v>F.do amm. costi beni di terzi</v>
          </cell>
          <cell r="D216">
            <v>0</v>
          </cell>
          <cell r="E216">
            <v>0</v>
          </cell>
        </row>
        <row r="217">
          <cell r="A217" t="str">
            <v>P</v>
          </cell>
          <cell r="B217">
            <v>170026</v>
          </cell>
          <cell r="C217" t="str">
            <v>Fondo amm. attrezz. in econ.</v>
          </cell>
          <cell r="D217">
            <v>0</v>
          </cell>
          <cell r="E217">
            <v>0</v>
          </cell>
        </row>
        <row r="218">
          <cell r="A218" t="str">
            <v>P</v>
          </cell>
          <cell r="B218">
            <v>18</v>
          </cell>
          <cell r="C218" t="str">
            <v>FONDI SPESE</v>
          </cell>
          <cell r="D218">
            <v>0</v>
          </cell>
          <cell r="E218">
            <v>0</v>
          </cell>
        </row>
        <row r="219">
          <cell r="A219" t="str">
            <v>P</v>
          </cell>
          <cell r="B219">
            <v>180001</v>
          </cell>
          <cell r="C219" t="str">
            <v>Fondo man. e rip.</v>
          </cell>
          <cell r="D219">
            <v>0</v>
          </cell>
          <cell r="E219">
            <v>0</v>
          </cell>
        </row>
        <row r="220">
          <cell r="A220" t="str">
            <v>P</v>
          </cell>
          <cell r="B220">
            <v>19</v>
          </cell>
          <cell r="C220" t="str">
            <v>FONDI RISCHI</v>
          </cell>
          <cell r="D220">
            <v>0</v>
          </cell>
          <cell r="E220">
            <v>0</v>
          </cell>
        </row>
        <row r="221">
          <cell r="A221" t="str">
            <v>P</v>
          </cell>
          <cell r="B221">
            <v>190001</v>
          </cell>
          <cell r="C221" t="str">
            <v>Fondo sval. crediti entro l'anno</v>
          </cell>
          <cell r="D221">
            <v>0</v>
          </cell>
          <cell r="E221">
            <v>0</v>
          </cell>
        </row>
        <row r="222">
          <cell r="B222">
            <v>190002</v>
          </cell>
          <cell r="C222" t="str">
            <v>Fondo sval. crediti oltre l'anno</v>
          </cell>
          <cell r="D222">
            <v>0</v>
          </cell>
          <cell r="E222">
            <v>0</v>
          </cell>
        </row>
        <row r="223">
          <cell r="A223" t="str">
            <v>P</v>
          </cell>
          <cell r="B223">
            <v>20</v>
          </cell>
          <cell r="C223" t="str">
            <v>FONDO IMPOSTE E TASSE</v>
          </cell>
          <cell r="D223">
            <v>0</v>
          </cell>
          <cell r="E223">
            <v>0</v>
          </cell>
        </row>
        <row r="224">
          <cell r="A224" t="str">
            <v>P</v>
          </cell>
          <cell r="B224">
            <v>200001</v>
          </cell>
          <cell r="C224" t="str">
            <v>Fondo IRPEF</v>
          </cell>
          <cell r="D224">
            <v>0</v>
          </cell>
          <cell r="E224">
            <v>0</v>
          </cell>
        </row>
        <row r="225">
          <cell r="A225" t="str">
            <v>P</v>
          </cell>
          <cell r="B225">
            <v>200002</v>
          </cell>
          <cell r="C225" t="str">
            <v>Fondo IRPEG</v>
          </cell>
          <cell r="D225">
            <v>0</v>
          </cell>
          <cell r="E225">
            <v>0</v>
          </cell>
        </row>
        <row r="226">
          <cell r="A226" t="str">
            <v>P</v>
          </cell>
          <cell r="B226">
            <v>200003</v>
          </cell>
          <cell r="C226" t="str">
            <v>Fondo ILOR</v>
          </cell>
          <cell r="D226">
            <v>0</v>
          </cell>
          <cell r="E226">
            <v>0</v>
          </cell>
        </row>
        <row r="227">
          <cell r="A227" t="str">
            <v>P</v>
          </cell>
          <cell r="B227">
            <v>200004</v>
          </cell>
          <cell r="C227" t="str">
            <v>Fondo add.le ILOR</v>
          </cell>
          <cell r="D227">
            <v>0</v>
          </cell>
          <cell r="E227">
            <v>0</v>
          </cell>
        </row>
        <row r="228">
          <cell r="A228" t="str">
            <v>P</v>
          </cell>
          <cell r="B228">
            <v>200005</v>
          </cell>
          <cell r="C228" t="str">
            <v>Fondo imposte eserc. preced.</v>
          </cell>
          <cell r="D228">
            <v>0</v>
          </cell>
          <cell r="E228">
            <v>0</v>
          </cell>
        </row>
        <row r="229">
          <cell r="A229" t="str">
            <v>P</v>
          </cell>
          <cell r="B229">
            <v>21</v>
          </cell>
          <cell r="C229" t="str">
            <v>T.F.R.</v>
          </cell>
          <cell r="D229">
            <v>63299</v>
          </cell>
          <cell r="E229">
            <v>63299</v>
          </cell>
        </row>
        <row r="230">
          <cell r="A230" t="str">
            <v>P</v>
          </cell>
          <cell r="B230">
            <v>210001</v>
          </cell>
          <cell r="C230" t="str">
            <v>Fondo licenz.pers.</v>
          </cell>
          <cell r="D230">
            <v>63299</v>
          </cell>
          <cell r="E230">
            <v>63299</v>
          </cell>
        </row>
        <row r="231">
          <cell r="A231" t="str">
            <v>P</v>
          </cell>
          <cell r="B231">
            <v>22</v>
          </cell>
          <cell r="C231" t="str">
            <v>RATEI E RISCONTI PASSIVI</v>
          </cell>
          <cell r="D231">
            <v>0</v>
          </cell>
          <cell r="E231">
            <v>0</v>
          </cell>
        </row>
        <row r="232">
          <cell r="A232" t="str">
            <v>P</v>
          </cell>
          <cell r="B232">
            <v>220001</v>
          </cell>
          <cell r="C232" t="str">
            <v>Ratei passivi</v>
          </cell>
          <cell r="D232">
            <v>0</v>
          </cell>
          <cell r="E232">
            <v>0</v>
          </cell>
        </row>
        <row r="233">
          <cell r="A233" t="str">
            <v>P</v>
          </cell>
          <cell r="B233">
            <v>220002</v>
          </cell>
          <cell r="C233" t="str">
            <v>Risconti passivi</v>
          </cell>
          <cell r="D233">
            <v>0</v>
          </cell>
          <cell r="E233">
            <v>0</v>
          </cell>
        </row>
        <row r="234">
          <cell r="A234" t="str">
            <v>P</v>
          </cell>
          <cell r="B234">
            <v>23</v>
          </cell>
          <cell r="C234" t="str">
            <v>ALTRI FONDI</v>
          </cell>
          <cell r="D234">
            <v>0</v>
          </cell>
          <cell r="E234">
            <v>0</v>
          </cell>
        </row>
        <row r="235">
          <cell r="A235" t="str">
            <v>P</v>
          </cell>
          <cell r="B235">
            <v>230001</v>
          </cell>
          <cell r="C235" t="str">
            <v>Fondo plusvalenza</v>
          </cell>
          <cell r="D235">
            <v>0</v>
          </cell>
          <cell r="E235">
            <v>0</v>
          </cell>
        </row>
        <row r="236">
          <cell r="A236" t="str">
            <v>P</v>
          </cell>
          <cell r="B236">
            <v>24</v>
          </cell>
          <cell r="C236" t="str">
            <v>ERARIO C/IVA</v>
          </cell>
          <cell r="D236">
            <v>0</v>
          </cell>
          <cell r="E236">
            <v>0</v>
          </cell>
        </row>
        <row r="237">
          <cell r="B237">
            <v>240001</v>
          </cell>
          <cell r="C237" t="str">
            <v>IVA su acquisti</v>
          </cell>
          <cell r="D237">
            <v>0</v>
          </cell>
          <cell r="E237">
            <v>0</v>
          </cell>
        </row>
        <row r="238">
          <cell r="B238">
            <v>240002</v>
          </cell>
          <cell r="C238" t="str">
            <v>IVA su vendite</v>
          </cell>
          <cell r="D238">
            <v>0</v>
          </cell>
          <cell r="E238">
            <v>0</v>
          </cell>
        </row>
        <row r="239">
          <cell r="B239">
            <v>240003</v>
          </cell>
          <cell r="C239" t="str">
            <v>IVA su fatt. in ritardo</v>
          </cell>
          <cell r="D239">
            <v>0</v>
          </cell>
          <cell r="E239">
            <v>0</v>
          </cell>
        </row>
        <row r="240">
          <cell r="B240">
            <v>240004</v>
          </cell>
          <cell r="C240" t="str">
            <v>IVA su acq. CEE</v>
          </cell>
          <cell r="D240">
            <v>0</v>
          </cell>
          <cell r="E240">
            <v>0</v>
          </cell>
        </row>
        <row r="241">
          <cell r="B241">
            <v>240005</v>
          </cell>
          <cell r="C241" t="str">
            <v>IVA su vendite CEE</v>
          </cell>
          <cell r="D241">
            <v>0</v>
          </cell>
          <cell r="E241">
            <v>0</v>
          </cell>
        </row>
        <row r="242">
          <cell r="C242" t="str">
            <v>TOTALE PASSIVO</v>
          </cell>
          <cell r="D242">
            <v>38135220</v>
          </cell>
          <cell r="E242">
            <v>59606300</v>
          </cell>
        </row>
        <row r="244">
          <cell r="A244" t="str">
            <v>STATO PATRIMONIALE - PATRIMONIO NETTO</v>
          </cell>
        </row>
        <row r="245">
          <cell r="A245" t="str">
            <v>N</v>
          </cell>
          <cell r="B245">
            <v>25</v>
          </cell>
          <cell r="C245" t="str">
            <v>CAPITALE NETTO</v>
          </cell>
          <cell r="D245">
            <v>29258218</v>
          </cell>
          <cell r="E245">
            <v>46876882</v>
          </cell>
        </row>
        <row r="246">
          <cell r="A246" t="str">
            <v>N</v>
          </cell>
          <cell r="B246">
            <v>250001</v>
          </cell>
          <cell r="C246" t="str">
            <v>Capitale proprio (ind)</v>
          </cell>
          <cell r="D246">
            <v>29258218</v>
          </cell>
          <cell r="E246">
            <v>46876882</v>
          </cell>
        </row>
        <row r="247">
          <cell r="A247" t="str">
            <v>N</v>
          </cell>
          <cell r="B247">
            <v>250002</v>
          </cell>
          <cell r="C247" t="str">
            <v>Capitale sociale</v>
          </cell>
          <cell r="D247">
            <v>0</v>
          </cell>
          <cell r="E247">
            <v>0</v>
          </cell>
        </row>
        <row r="248">
          <cell r="A248" t="str">
            <v>N</v>
          </cell>
          <cell r="B248">
            <v>250003</v>
          </cell>
          <cell r="C248" t="str">
            <v>Fondo riserva legale</v>
          </cell>
          <cell r="D248">
            <v>0</v>
          </cell>
          <cell r="E248">
            <v>0</v>
          </cell>
        </row>
        <row r="249">
          <cell r="A249" t="str">
            <v>N</v>
          </cell>
          <cell r="B249">
            <v>250004</v>
          </cell>
          <cell r="C249" t="str">
            <v>Fondo riserva statut.</v>
          </cell>
          <cell r="D249">
            <v>0</v>
          </cell>
          <cell r="E249">
            <v>0</v>
          </cell>
        </row>
        <row r="250">
          <cell r="A250" t="str">
            <v>N</v>
          </cell>
          <cell r="B250">
            <v>250005</v>
          </cell>
          <cell r="C250" t="str">
            <v>Fondo riserva straord.</v>
          </cell>
          <cell r="D250">
            <v>0</v>
          </cell>
          <cell r="E250">
            <v>0</v>
          </cell>
        </row>
        <row r="251">
          <cell r="A251" t="str">
            <v>N</v>
          </cell>
          <cell r="B251">
            <v>250006</v>
          </cell>
          <cell r="C251" t="str">
            <v>Fondo riv. monetaria</v>
          </cell>
          <cell r="D251">
            <v>0</v>
          </cell>
          <cell r="E251">
            <v>0</v>
          </cell>
        </row>
        <row r="252">
          <cell r="A252" t="str">
            <v>N</v>
          </cell>
          <cell r="B252">
            <v>250007</v>
          </cell>
          <cell r="C252" t="str">
            <v>Utile esercizi precedenti</v>
          </cell>
          <cell r="D252">
            <v>0</v>
          </cell>
          <cell r="E252">
            <v>0</v>
          </cell>
        </row>
        <row r="253">
          <cell r="A253" t="str">
            <v>N</v>
          </cell>
          <cell r="B253">
            <v>250008</v>
          </cell>
          <cell r="C253" t="str">
            <v>Avanzo utili</v>
          </cell>
          <cell r="D253">
            <v>0</v>
          </cell>
          <cell r="E253">
            <v>0</v>
          </cell>
        </row>
        <row r="254">
          <cell r="A254" t="str">
            <v>N</v>
          </cell>
          <cell r="B254">
            <v>250009</v>
          </cell>
          <cell r="C254" t="str">
            <v>Fondo investimenti</v>
          </cell>
          <cell r="D254">
            <v>0</v>
          </cell>
          <cell r="E254">
            <v>0</v>
          </cell>
        </row>
        <row r="255">
          <cell r="A255" t="str">
            <v>N</v>
          </cell>
          <cell r="B255">
            <v>250010</v>
          </cell>
          <cell r="C255" t="str">
            <v>Fondo ris. sospens. imposta</v>
          </cell>
          <cell r="D255">
            <v>0</v>
          </cell>
          <cell r="E255">
            <v>0</v>
          </cell>
        </row>
        <row r="256">
          <cell r="A256" t="str">
            <v>N</v>
          </cell>
          <cell r="B256">
            <v>250011</v>
          </cell>
          <cell r="C256" t="str">
            <v>Plusvalenza a tassaz. sosp.</v>
          </cell>
          <cell r="D256">
            <v>0</v>
          </cell>
          <cell r="E256">
            <v>0</v>
          </cell>
        </row>
        <row r="257">
          <cell r="A257" t="str">
            <v>N</v>
          </cell>
          <cell r="B257">
            <v>250012</v>
          </cell>
          <cell r="C257" t="str">
            <v>Versamenti soci in c/cap.</v>
          </cell>
          <cell r="D257">
            <v>0</v>
          </cell>
          <cell r="E257">
            <v>0</v>
          </cell>
        </row>
        <row r="258">
          <cell r="A258" t="str">
            <v>N</v>
          </cell>
          <cell r="B258">
            <v>250013</v>
          </cell>
          <cell r="C258" t="str">
            <v>Riserva da amm. antic.</v>
          </cell>
          <cell r="D258">
            <v>0</v>
          </cell>
          <cell r="E258">
            <v>0</v>
          </cell>
        </row>
        <row r="259">
          <cell r="C259" t="str">
            <v>TOTALE PASSIVO + NETTO</v>
          </cell>
          <cell r="D259">
            <v>67393438</v>
          </cell>
          <cell r="E259">
            <v>106483182</v>
          </cell>
        </row>
        <row r="260">
          <cell r="C260" t="str">
            <v>Utile esercizio attuale</v>
          </cell>
          <cell r="D260">
            <v>7865857</v>
          </cell>
          <cell r="E260">
            <v>8549466</v>
          </cell>
        </row>
        <row r="261">
          <cell r="C261" t="str">
            <v>TOTALE A PAREGGIO</v>
          </cell>
          <cell r="D261">
            <v>75259295</v>
          </cell>
          <cell r="E261">
            <v>115032648</v>
          </cell>
        </row>
        <row r="263">
          <cell r="A263" t="str">
            <v>CONTO ECONOMICO - COSTI</v>
          </cell>
        </row>
        <row r="264">
          <cell r="A264" t="str">
            <v>C</v>
          </cell>
          <cell r="B264">
            <v>26</v>
          </cell>
          <cell r="C264" t="str">
            <v>ARROTONDAMENTI FATT.</v>
          </cell>
          <cell r="D264">
            <v>0</v>
          </cell>
          <cell r="E264">
            <v>2301</v>
          </cell>
        </row>
        <row r="265">
          <cell r="A265" t="str">
            <v>C</v>
          </cell>
          <cell r="B265">
            <v>260001</v>
          </cell>
          <cell r="C265" t="str">
            <v>Arrot.ti negativi</v>
          </cell>
          <cell r="D265">
            <v>0</v>
          </cell>
          <cell r="E265">
            <v>2301</v>
          </cell>
        </row>
        <row r="266">
          <cell r="A266" t="str">
            <v>C</v>
          </cell>
          <cell r="B266">
            <v>27</v>
          </cell>
          <cell r="C266" t="str">
            <v>RIMANENZE INIZIALI</v>
          </cell>
          <cell r="D266">
            <v>845050</v>
          </cell>
          <cell r="E266">
            <v>41012000</v>
          </cell>
        </row>
        <row r="267">
          <cell r="A267" t="str">
            <v>C</v>
          </cell>
          <cell r="B267">
            <v>270001</v>
          </cell>
          <cell r="C267" t="str">
            <v>Materie prime</v>
          </cell>
          <cell r="D267">
            <v>0</v>
          </cell>
          <cell r="E267">
            <v>0</v>
          </cell>
        </row>
        <row r="268">
          <cell r="A268" t="str">
            <v>C</v>
          </cell>
          <cell r="B268">
            <v>270002</v>
          </cell>
          <cell r="C268" t="str">
            <v>Materie sussidiarie</v>
          </cell>
          <cell r="D268">
            <v>0</v>
          </cell>
          <cell r="E268">
            <v>0</v>
          </cell>
        </row>
        <row r="269">
          <cell r="A269" t="str">
            <v>C</v>
          </cell>
          <cell r="B269">
            <v>270003</v>
          </cell>
          <cell r="C269" t="str">
            <v>Prodotti finiti</v>
          </cell>
          <cell r="D269">
            <v>0</v>
          </cell>
          <cell r="E269">
            <v>0</v>
          </cell>
        </row>
        <row r="270">
          <cell r="A270" t="str">
            <v>C</v>
          </cell>
          <cell r="B270">
            <v>270004</v>
          </cell>
          <cell r="C270" t="str">
            <v>Prodotti in lavoraz.</v>
          </cell>
          <cell r="D270">
            <v>0</v>
          </cell>
          <cell r="E270">
            <v>0</v>
          </cell>
        </row>
        <row r="271">
          <cell r="A271" t="str">
            <v>C</v>
          </cell>
          <cell r="B271">
            <v>270005</v>
          </cell>
          <cell r="C271" t="str">
            <v>Merci</v>
          </cell>
          <cell r="D271">
            <v>724700</v>
          </cell>
          <cell r="E271">
            <v>38025000</v>
          </cell>
        </row>
        <row r="272">
          <cell r="A272" t="str">
            <v>C</v>
          </cell>
          <cell r="B272">
            <v>270006</v>
          </cell>
          <cell r="C272" t="str">
            <v>Imballaggi</v>
          </cell>
          <cell r="D272">
            <v>120350</v>
          </cell>
          <cell r="E272">
            <v>2987000</v>
          </cell>
        </row>
        <row r="273">
          <cell r="A273" t="str">
            <v>C</v>
          </cell>
          <cell r="B273">
            <v>270007</v>
          </cell>
          <cell r="C273" t="str">
            <v>Materiali di consumo</v>
          </cell>
          <cell r="D273">
            <v>0</v>
          </cell>
          <cell r="E273">
            <v>0</v>
          </cell>
        </row>
        <row r="274">
          <cell r="A274" t="str">
            <v>C</v>
          </cell>
          <cell r="B274">
            <v>270008</v>
          </cell>
          <cell r="C274" t="str">
            <v>Lavori in esecuzione</v>
          </cell>
          <cell r="D274">
            <v>0</v>
          </cell>
          <cell r="E274">
            <v>0</v>
          </cell>
        </row>
        <row r="275">
          <cell r="A275" t="str">
            <v>C</v>
          </cell>
          <cell r="B275">
            <v>270009</v>
          </cell>
          <cell r="C275" t="str">
            <v>Risconti attivi</v>
          </cell>
          <cell r="D275">
            <v>0</v>
          </cell>
          <cell r="E275">
            <v>0</v>
          </cell>
        </row>
        <row r="276">
          <cell r="A276" t="str">
            <v>C</v>
          </cell>
          <cell r="B276">
            <v>270010</v>
          </cell>
          <cell r="C276" t="str">
            <v>Prodotti sussidiari</v>
          </cell>
          <cell r="D276">
            <v>0</v>
          </cell>
          <cell r="E276">
            <v>0</v>
          </cell>
        </row>
        <row r="277">
          <cell r="A277" t="str">
            <v>C</v>
          </cell>
          <cell r="B277">
            <v>28</v>
          </cell>
          <cell r="C277" t="str">
            <v>C/ACQUISTI BENI</v>
          </cell>
          <cell r="D277">
            <v>106843346</v>
          </cell>
          <cell r="E277">
            <v>100221047</v>
          </cell>
        </row>
        <row r="278">
          <cell r="A278" t="str">
            <v>C</v>
          </cell>
          <cell r="B278">
            <v>280001</v>
          </cell>
          <cell r="C278" t="str">
            <v>Acquisto materie prime</v>
          </cell>
          <cell r="D278">
            <v>0</v>
          </cell>
          <cell r="E278">
            <v>0</v>
          </cell>
        </row>
        <row r="279">
          <cell r="A279" t="str">
            <v>C</v>
          </cell>
          <cell r="B279">
            <v>280002</v>
          </cell>
          <cell r="C279" t="str">
            <v>Acq. materie sussidiarie</v>
          </cell>
          <cell r="D279">
            <v>0</v>
          </cell>
          <cell r="E279">
            <v>0</v>
          </cell>
        </row>
        <row r="280">
          <cell r="A280" t="str">
            <v>C</v>
          </cell>
          <cell r="B280">
            <v>280003</v>
          </cell>
          <cell r="C280" t="str">
            <v>Acquisto merci</v>
          </cell>
          <cell r="D280">
            <v>101980584</v>
          </cell>
          <cell r="E280">
            <v>95691965</v>
          </cell>
        </row>
        <row r="281">
          <cell r="A281" t="str">
            <v>C</v>
          </cell>
          <cell r="B281">
            <v>280004</v>
          </cell>
          <cell r="C281" t="str">
            <v>Acq. imballaggi</v>
          </cell>
          <cell r="D281">
            <v>4862762</v>
          </cell>
          <cell r="E281">
            <v>4529082</v>
          </cell>
        </row>
        <row r="282">
          <cell r="A282" t="str">
            <v>C</v>
          </cell>
          <cell r="B282">
            <v>280005</v>
          </cell>
          <cell r="C282" t="str">
            <v>Acq. materiale di cons.</v>
          </cell>
          <cell r="D282">
            <v>0</v>
          </cell>
          <cell r="E282">
            <v>0</v>
          </cell>
        </row>
        <row r="283">
          <cell r="A283" t="str">
            <v>C</v>
          </cell>
          <cell r="B283">
            <v>280006</v>
          </cell>
          <cell r="C283" t="str">
            <v>Acq. merci indetr.li</v>
          </cell>
          <cell r="D283">
            <v>0</v>
          </cell>
          <cell r="E283">
            <v>0</v>
          </cell>
        </row>
        <row r="284">
          <cell r="A284" t="str">
            <v>C</v>
          </cell>
          <cell r="B284">
            <v>280007</v>
          </cell>
          <cell r="C284" t="str">
            <v>Acq. materie prime indetr.li</v>
          </cell>
          <cell r="D284">
            <v>0</v>
          </cell>
          <cell r="E284">
            <v>0</v>
          </cell>
        </row>
        <row r="285">
          <cell r="A285" t="str">
            <v>C</v>
          </cell>
          <cell r="B285">
            <v>280008</v>
          </cell>
          <cell r="C285" t="str">
            <v>Premi da fornitori</v>
          </cell>
          <cell r="D285">
            <v>0</v>
          </cell>
          <cell r="E285">
            <v>0</v>
          </cell>
        </row>
        <row r="286">
          <cell r="A286" t="str">
            <v>C</v>
          </cell>
          <cell r="B286">
            <v>280009</v>
          </cell>
          <cell r="C286" t="str">
            <v>Iva indetraibile</v>
          </cell>
          <cell r="D286">
            <v>0</v>
          </cell>
          <cell r="E286">
            <v>0</v>
          </cell>
        </row>
        <row r="287">
          <cell r="A287" t="str">
            <v>C</v>
          </cell>
          <cell r="B287">
            <v>280010</v>
          </cell>
          <cell r="C287" t="str">
            <v>Acq. merci estere Cee</v>
          </cell>
          <cell r="D287">
            <v>0</v>
          </cell>
          <cell r="E287">
            <v>0</v>
          </cell>
        </row>
        <row r="288">
          <cell r="A288" t="str">
            <v>C</v>
          </cell>
          <cell r="B288">
            <v>29</v>
          </cell>
          <cell r="C288" t="str">
            <v>C/ACQUISTI SERVIZI</v>
          </cell>
          <cell r="D288">
            <v>10218973</v>
          </cell>
          <cell r="E288">
            <v>9082394</v>
          </cell>
        </row>
        <row r="289">
          <cell r="A289" t="str">
            <v>C</v>
          </cell>
          <cell r="B289">
            <v>290001</v>
          </cell>
          <cell r="C289" t="str">
            <v>Spese di trasporto</v>
          </cell>
          <cell r="D289">
            <v>15000</v>
          </cell>
          <cell r="E289">
            <v>15500</v>
          </cell>
        </row>
        <row r="290">
          <cell r="A290" t="str">
            <v>C</v>
          </cell>
          <cell r="B290">
            <v>290002</v>
          </cell>
          <cell r="C290" t="str">
            <v>Spese di manut. e rip. 5%</v>
          </cell>
          <cell r="D290">
            <v>0</v>
          </cell>
          <cell r="E290">
            <v>172700</v>
          </cell>
        </row>
        <row r="291">
          <cell r="A291" t="str">
            <v>C</v>
          </cell>
          <cell r="B291">
            <v>290003</v>
          </cell>
          <cell r="C291" t="str">
            <v>Spese di energia elettrica</v>
          </cell>
          <cell r="D291">
            <v>5043735</v>
          </cell>
          <cell r="E291">
            <v>6190396</v>
          </cell>
        </row>
        <row r="292">
          <cell r="A292" t="str">
            <v>C</v>
          </cell>
          <cell r="B292">
            <v>290004</v>
          </cell>
          <cell r="C292" t="str">
            <v>Spese di assicuraz. edif.</v>
          </cell>
          <cell r="D292">
            <v>0</v>
          </cell>
          <cell r="E292">
            <v>0</v>
          </cell>
        </row>
        <row r="293">
          <cell r="A293" t="str">
            <v>C</v>
          </cell>
          <cell r="B293">
            <v>290005</v>
          </cell>
          <cell r="C293" t="str">
            <v>Spese di assicuraz. magazz.</v>
          </cell>
          <cell r="D293">
            <v>0</v>
          </cell>
          <cell r="E293">
            <v>0</v>
          </cell>
        </row>
        <row r="294">
          <cell r="A294" t="str">
            <v>C</v>
          </cell>
          <cell r="B294">
            <v>290006</v>
          </cell>
          <cell r="C294" t="str">
            <v>Spese di assicuraz. autom.</v>
          </cell>
          <cell r="D294">
            <v>0</v>
          </cell>
          <cell r="E294">
            <v>0</v>
          </cell>
        </row>
        <row r="295">
          <cell r="A295" t="str">
            <v>C</v>
          </cell>
          <cell r="B295">
            <v>290007</v>
          </cell>
          <cell r="C295" t="str">
            <v>Spese di assicuraz. varie</v>
          </cell>
          <cell r="D295">
            <v>1415000</v>
          </cell>
          <cell r="E295">
            <v>0</v>
          </cell>
        </row>
        <row r="296">
          <cell r="A296" t="str">
            <v>C</v>
          </cell>
          <cell r="B296">
            <v>290008</v>
          </cell>
          <cell r="C296" t="str">
            <v>Spese telefoniche</v>
          </cell>
          <cell r="D296">
            <v>573278</v>
          </cell>
          <cell r="E296">
            <v>483798</v>
          </cell>
        </row>
        <row r="297">
          <cell r="A297" t="str">
            <v>C</v>
          </cell>
          <cell r="B297">
            <v>290009</v>
          </cell>
          <cell r="C297" t="str">
            <v>Spese di pulizia</v>
          </cell>
          <cell r="D297">
            <v>0</v>
          </cell>
          <cell r="E297">
            <v>0</v>
          </cell>
        </row>
        <row r="298">
          <cell r="A298" t="str">
            <v>C</v>
          </cell>
          <cell r="B298">
            <v>290010</v>
          </cell>
          <cell r="C298" t="str">
            <v>Spese per carb. e lubrif.</v>
          </cell>
          <cell r="D298">
            <v>0</v>
          </cell>
          <cell r="E298">
            <v>0</v>
          </cell>
        </row>
        <row r="299">
          <cell r="A299" t="str">
            <v>C</v>
          </cell>
          <cell r="B299">
            <v>290011</v>
          </cell>
          <cell r="C299" t="str">
            <v>Provvigioni pass.</v>
          </cell>
          <cell r="D299">
            <v>0</v>
          </cell>
          <cell r="E299">
            <v>0</v>
          </cell>
        </row>
        <row r="300">
          <cell r="A300" t="str">
            <v>C</v>
          </cell>
          <cell r="B300">
            <v>290012</v>
          </cell>
          <cell r="C300" t="str">
            <v>Spese di consulenza</v>
          </cell>
          <cell r="D300">
            <v>0</v>
          </cell>
          <cell r="E300">
            <v>0</v>
          </cell>
        </row>
        <row r="301">
          <cell r="A301" t="str">
            <v>C</v>
          </cell>
          <cell r="B301">
            <v>290013</v>
          </cell>
          <cell r="C301" t="str">
            <v>Spese legali</v>
          </cell>
          <cell r="D301">
            <v>0</v>
          </cell>
          <cell r="E301">
            <v>0</v>
          </cell>
        </row>
        <row r="302">
          <cell r="A302" t="str">
            <v>C</v>
          </cell>
          <cell r="B302">
            <v>290014</v>
          </cell>
          <cell r="C302" t="str">
            <v>Spese di pubblicità</v>
          </cell>
          <cell r="D302">
            <v>2561960</v>
          </cell>
          <cell r="E302">
            <v>800000</v>
          </cell>
        </row>
        <row r="303">
          <cell r="A303" t="str">
            <v>C</v>
          </cell>
          <cell r="B303">
            <v>290015</v>
          </cell>
          <cell r="C303" t="str">
            <v>Spese di vigilanza</v>
          </cell>
          <cell r="D303">
            <v>360000</v>
          </cell>
          <cell r="E303">
            <v>210000</v>
          </cell>
        </row>
        <row r="304">
          <cell r="A304" t="str">
            <v>C</v>
          </cell>
          <cell r="B304">
            <v>290016</v>
          </cell>
          <cell r="C304" t="str">
            <v>Spese di fachinaggio</v>
          </cell>
          <cell r="D304">
            <v>0</v>
          </cell>
          <cell r="E304">
            <v>0</v>
          </cell>
        </row>
        <row r="305">
          <cell r="A305" t="str">
            <v>C</v>
          </cell>
          <cell r="B305">
            <v>290017</v>
          </cell>
          <cell r="C305" t="str">
            <v>Spese di noleggio</v>
          </cell>
          <cell r="D305">
            <v>0</v>
          </cell>
          <cell r="E305">
            <v>0</v>
          </cell>
        </row>
        <row r="306">
          <cell r="A306" t="str">
            <v>C</v>
          </cell>
          <cell r="B306">
            <v>290018</v>
          </cell>
          <cell r="C306" t="str">
            <v>Tassa di circolazione</v>
          </cell>
          <cell r="D306">
            <v>0</v>
          </cell>
          <cell r="E306">
            <v>0</v>
          </cell>
        </row>
        <row r="307">
          <cell r="A307" t="str">
            <v>C</v>
          </cell>
          <cell r="B307">
            <v>290019</v>
          </cell>
          <cell r="C307" t="str">
            <v>Pedaggi autostradali</v>
          </cell>
          <cell r="D307">
            <v>0</v>
          </cell>
          <cell r="E307">
            <v>0</v>
          </cell>
        </row>
        <row r="308">
          <cell r="A308" t="str">
            <v>C</v>
          </cell>
          <cell r="B308">
            <v>290020</v>
          </cell>
          <cell r="C308" t="str">
            <v>Tassa di raccolta rif.</v>
          </cell>
          <cell r="D308">
            <v>0</v>
          </cell>
          <cell r="E308">
            <v>0</v>
          </cell>
        </row>
        <row r="309">
          <cell r="A309" t="str">
            <v>C</v>
          </cell>
          <cell r="B309">
            <v>290021</v>
          </cell>
          <cell r="C309" t="str">
            <v>Spese manut. e rip. 25%</v>
          </cell>
          <cell r="D309">
            <v>0</v>
          </cell>
          <cell r="E309">
            <v>0</v>
          </cell>
        </row>
        <row r="310">
          <cell r="A310" t="str">
            <v>C</v>
          </cell>
          <cell r="B310">
            <v>290022</v>
          </cell>
          <cell r="C310" t="str">
            <v xml:space="preserve">Commissioni bancarie </v>
          </cell>
          <cell r="D310">
            <v>0</v>
          </cell>
          <cell r="E310">
            <v>0</v>
          </cell>
        </row>
        <row r="311">
          <cell r="A311" t="str">
            <v>C</v>
          </cell>
          <cell r="B311">
            <v>290023</v>
          </cell>
          <cell r="C311" t="str">
            <v>Spese assist. macch. elettr.</v>
          </cell>
          <cell r="D311">
            <v>250000</v>
          </cell>
          <cell r="E311">
            <v>250000</v>
          </cell>
        </row>
        <row r="312">
          <cell r="A312" t="str">
            <v>C</v>
          </cell>
          <cell r="B312">
            <v>290024</v>
          </cell>
          <cell r="C312" t="str">
            <v>Spese elaborazioni cont.</v>
          </cell>
          <cell r="D312">
            <v>0</v>
          </cell>
          <cell r="E312">
            <v>960000</v>
          </cell>
        </row>
        <row r="313">
          <cell r="A313" t="str">
            <v>C</v>
          </cell>
          <cell r="B313">
            <v>290025</v>
          </cell>
          <cell r="C313" t="str">
            <v>Spese telefon. ind.li</v>
          </cell>
          <cell r="D313">
            <v>0</v>
          </cell>
          <cell r="E313">
            <v>0</v>
          </cell>
        </row>
        <row r="314">
          <cell r="A314" t="str">
            <v>C</v>
          </cell>
          <cell r="B314">
            <v>30</v>
          </cell>
          <cell r="C314" t="str">
            <v>ONERI PERSONALE DIP.</v>
          </cell>
          <cell r="D314">
            <v>1032367</v>
          </cell>
          <cell r="E314">
            <v>10565517</v>
          </cell>
        </row>
        <row r="315">
          <cell r="A315" t="str">
            <v>C</v>
          </cell>
          <cell r="B315">
            <v>300001</v>
          </cell>
          <cell r="C315" t="str">
            <v>Stip. e salari dip.</v>
          </cell>
          <cell r="D315">
            <v>916367</v>
          </cell>
          <cell r="E315">
            <v>9787614</v>
          </cell>
        </row>
        <row r="316">
          <cell r="A316" t="str">
            <v>C</v>
          </cell>
          <cell r="B316">
            <v>300002</v>
          </cell>
          <cell r="C316" t="str">
            <v>Contr. Inps carico az.</v>
          </cell>
          <cell r="D316">
            <v>116000</v>
          </cell>
          <cell r="E316">
            <v>494691</v>
          </cell>
        </row>
        <row r="317">
          <cell r="A317" t="str">
            <v>C</v>
          </cell>
          <cell r="B317">
            <v>300003</v>
          </cell>
          <cell r="C317" t="str">
            <v xml:space="preserve">Contr. Inail </v>
          </cell>
          <cell r="D317">
            <v>0</v>
          </cell>
          <cell r="E317">
            <v>0</v>
          </cell>
        </row>
        <row r="318">
          <cell r="A318" t="str">
            <v>C</v>
          </cell>
          <cell r="B318">
            <v>300004</v>
          </cell>
          <cell r="C318" t="str">
            <v>Ind. malattia carico az.</v>
          </cell>
          <cell r="D318">
            <v>0</v>
          </cell>
          <cell r="E318">
            <v>0</v>
          </cell>
        </row>
        <row r="319">
          <cell r="A319" t="str">
            <v>C</v>
          </cell>
          <cell r="B319">
            <v>300005</v>
          </cell>
          <cell r="C319" t="str">
            <v>Ind. maternità carico az.</v>
          </cell>
          <cell r="D319">
            <v>0</v>
          </cell>
          <cell r="E319">
            <v>0</v>
          </cell>
        </row>
        <row r="320">
          <cell r="A320" t="str">
            <v>C</v>
          </cell>
          <cell r="B320">
            <v>300006</v>
          </cell>
          <cell r="C320" t="str">
            <v>Cong. matr. carico az.</v>
          </cell>
          <cell r="D320">
            <v>0</v>
          </cell>
          <cell r="E320">
            <v>0</v>
          </cell>
        </row>
        <row r="321">
          <cell r="A321" t="str">
            <v>C</v>
          </cell>
          <cell r="B321">
            <v>300007</v>
          </cell>
          <cell r="C321" t="str">
            <v>Indennità di anzianità</v>
          </cell>
          <cell r="D321">
            <v>0</v>
          </cell>
          <cell r="E321">
            <v>283212</v>
          </cell>
        </row>
        <row r="322">
          <cell r="A322" t="str">
            <v>C</v>
          </cell>
          <cell r="B322">
            <v>300008</v>
          </cell>
          <cell r="C322" t="str">
            <v>Indennità fine rapp. liquid.</v>
          </cell>
          <cell r="D322">
            <v>0</v>
          </cell>
          <cell r="E322">
            <v>0</v>
          </cell>
        </row>
        <row r="323">
          <cell r="A323" t="str">
            <v>C</v>
          </cell>
          <cell r="B323">
            <v>31</v>
          </cell>
          <cell r="C323" t="str">
            <v>COSTI DI PRODUZIONE</v>
          </cell>
          <cell r="D323">
            <v>0</v>
          </cell>
          <cell r="E323">
            <v>135214</v>
          </cell>
        </row>
        <row r="324">
          <cell r="A324" t="str">
            <v>C</v>
          </cell>
          <cell r="B324">
            <v>310001</v>
          </cell>
          <cell r="C324" t="str">
            <v>Forza motrice</v>
          </cell>
          <cell r="D324">
            <v>0</v>
          </cell>
          <cell r="E324">
            <v>0</v>
          </cell>
        </row>
        <row r="325">
          <cell r="A325" t="str">
            <v>C</v>
          </cell>
          <cell r="B325">
            <v>310002</v>
          </cell>
          <cell r="C325" t="str">
            <v>Combustibili</v>
          </cell>
          <cell r="D325">
            <v>0</v>
          </cell>
          <cell r="E325">
            <v>0</v>
          </cell>
        </row>
        <row r="326">
          <cell r="A326" t="str">
            <v>C</v>
          </cell>
          <cell r="B326">
            <v>310003</v>
          </cell>
          <cell r="C326" t="str">
            <v>Spese consumo gas</v>
          </cell>
          <cell r="D326">
            <v>0</v>
          </cell>
          <cell r="E326">
            <v>135214</v>
          </cell>
        </row>
        <row r="327">
          <cell r="A327" t="str">
            <v>C</v>
          </cell>
          <cell r="B327">
            <v>310004</v>
          </cell>
          <cell r="C327" t="str">
            <v>Canoni leasing</v>
          </cell>
          <cell r="D327">
            <v>0</v>
          </cell>
          <cell r="E327">
            <v>0</v>
          </cell>
        </row>
        <row r="328">
          <cell r="A328" t="str">
            <v>C</v>
          </cell>
          <cell r="B328">
            <v>310005</v>
          </cell>
          <cell r="C328" t="str">
            <v>Lavorazioni per terzi</v>
          </cell>
          <cell r="D328">
            <v>0</v>
          </cell>
          <cell r="E328">
            <v>0</v>
          </cell>
        </row>
        <row r="329">
          <cell r="A329" t="str">
            <v>C</v>
          </cell>
          <cell r="B329">
            <v>310006</v>
          </cell>
          <cell r="C329" t="str">
            <v>Canoni leasing ind.li</v>
          </cell>
          <cell r="D329">
            <v>0</v>
          </cell>
          <cell r="E329">
            <v>0</v>
          </cell>
        </row>
        <row r="330">
          <cell r="A330" t="str">
            <v>C</v>
          </cell>
          <cell r="B330">
            <v>32</v>
          </cell>
          <cell r="C330" t="str">
            <v>RETTIFICHE RICAVI</v>
          </cell>
          <cell r="D330">
            <v>0</v>
          </cell>
          <cell r="E330">
            <v>139</v>
          </cell>
        </row>
        <row r="331">
          <cell r="A331" t="str">
            <v>C</v>
          </cell>
          <cell r="B331">
            <v>320001</v>
          </cell>
          <cell r="C331" t="str">
            <v>Abbuoni e rib. passivi</v>
          </cell>
          <cell r="D331">
            <v>0</v>
          </cell>
          <cell r="E331">
            <v>139</v>
          </cell>
        </row>
        <row r="332">
          <cell r="A332" t="str">
            <v>C</v>
          </cell>
          <cell r="B332">
            <v>320002</v>
          </cell>
          <cell r="C332" t="str">
            <v>Sconti pass.</v>
          </cell>
          <cell r="D332">
            <v>0</v>
          </cell>
          <cell r="E332">
            <v>0</v>
          </cell>
        </row>
        <row r="333">
          <cell r="A333" t="str">
            <v>C</v>
          </cell>
          <cell r="B333">
            <v>320003</v>
          </cell>
          <cell r="C333" t="str">
            <v>Resi su vendite</v>
          </cell>
          <cell r="D333">
            <v>0</v>
          </cell>
          <cell r="E333">
            <v>0</v>
          </cell>
        </row>
        <row r="334">
          <cell r="A334" t="str">
            <v>C</v>
          </cell>
          <cell r="B334">
            <v>320004</v>
          </cell>
          <cell r="C334" t="str">
            <v>Premi su vendite</v>
          </cell>
          <cell r="D334">
            <v>0</v>
          </cell>
          <cell r="E334">
            <v>0</v>
          </cell>
        </row>
        <row r="335">
          <cell r="A335" t="str">
            <v>C</v>
          </cell>
          <cell r="B335">
            <v>320005</v>
          </cell>
          <cell r="C335" t="str">
            <v>Plusval. capitalizzata</v>
          </cell>
          <cell r="D335">
            <v>0</v>
          </cell>
          <cell r="E335">
            <v>0</v>
          </cell>
        </row>
        <row r="336">
          <cell r="A336" t="str">
            <v>C</v>
          </cell>
          <cell r="B336">
            <v>33</v>
          </cell>
          <cell r="C336" t="str">
            <v xml:space="preserve">AMMORTAMENTI </v>
          </cell>
          <cell r="D336">
            <v>6771505</v>
          </cell>
          <cell r="E336">
            <v>0</v>
          </cell>
        </row>
        <row r="337">
          <cell r="A337" t="str">
            <v>C</v>
          </cell>
          <cell r="B337">
            <v>330001</v>
          </cell>
          <cell r="C337" t="str">
            <v>Quota amm. altri beni</v>
          </cell>
          <cell r="D337">
            <v>2023108</v>
          </cell>
          <cell r="E337">
            <v>0</v>
          </cell>
        </row>
        <row r="338">
          <cell r="A338" t="str">
            <v>C</v>
          </cell>
          <cell r="B338">
            <v>330002</v>
          </cell>
          <cell r="C338" t="str">
            <v>Quota amm. fabb. industr.</v>
          </cell>
          <cell r="D338">
            <v>0</v>
          </cell>
          <cell r="E338">
            <v>0</v>
          </cell>
        </row>
        <row r="339">
          <cell r="A339" t="str">
            <v>C</v>
          </cell>
          <cell r="B339">
            <v>330003</v>
          </cell>
          <cell r="C339" t="str">
            <v>Quota amm.fabbr. comm.</v>
          </cell>
          <cell r="D339">
            <v>0</v>
          </cell>
          <cell r="E339">
            <v>0</v>
          </cell>
        </row>
        <row r="340">
          <cell r="A340" t="str">
            <v>C</v>
          </cell>
          <cell r="B340">
            <v>330004</v>
          </cell>
          <cell r="C340" t="str">
            <v>Quota amm.automezzi</v>
          </cell>
          <cell r="D340">
            <v>0</v>
          </cell>
          <cell r="E340">
            <v>0</v>
          </cell>
        </row>
        <row r="341">
          <cell r="A341" t="str">
            <v>C</v>
          </cell>
          <cell r="B341">
            <v>330005</v>
          </cell>
          <cell r="C341" t="str">
            <v>Quota amm. autom. indetr.</v>
          </cell>
          <cell r="D341">
            <v>0</v>
          </cell>
          <cell r="E341">
            <v>0</v>
          </cell>
        </row>
        <row r="342">
          <cell r="A342" t="str">
            <v>C</v>
          </cell>
          <cell r="B342">
            <v>330006</v>
          </cell>
          <cell r="C342" t="str">
            <v>Quota amm.macch. imp. ind.</v>
          </cell>
          <cell r="D342">
            <v>0</v>
          </cell>
          <cell r="E342">
            <v>0</v>
          </cell>
        </row>
        <row r="343">
          <cell r="A343" t="str">
            <v>C</v>
          </cell>
          <cell r="B343">
            <v>330007</v>
          </cell>
          <cell r="C343" t="str">
            <v>Quota amm. macch. e imp.</v>
          </cell>
          <cell r="D343">
            <v>1827735</v>
          </cell>
          <cell r="E343">
            <v>0</v>
          </cell>
        </row>
        <row r="344">
          <cell r="A344" t="str">
            <v>C</v>
          </cell>
          <cell r="B344">
            <v>330008</v>
          </cell>
          <cell r="C344" t="str">
            <v>Quota amm. attrezzature</v>
          </cell>
          <cell r="D344">
            <v>2479207</v>
          </cell>
          <cell r="E344">
            <v>0</v>
          </cell>
        </row>
        <row r="345">
          <cell r="A345" t="str">
            <v>C</v>
          </cell>
          <cell r="B345">
            <v>330009</v>
          </cell>
          <cell r="C345" t="str">
            <v>Quota amm.mobili e arred.</v>
          </cell>
          <cell r="D345">
            <v>240630</v>
          </cell>
          <cell r="E345">
            <v>0</v>
          </cell>
        </row>
        <row r="346">
          <cell r="A346" t="str">
            <v>C</v>
          </cell>
          <cell r="B346">
            <v>330010</v>
          </cell>
          <cell r="C346" t="str">
            <v>Quota amm. macch. d'ufficio</v>
          </cell>
          <cell r="D346">
            <v>0</v>
          </cell>
          <cell r="E346">
            <v>0</v>
          </cell>
        </row>
        <row r="347">
          <cell r="A347" t="str">
            <v>C</v>
          </cell>
          <cell r="B347">
            <v>330011</v>
          </cell>
          <cell r="C347" t="str">
            <v>Quota amm. macch. cont.</v>
          </cell>
          <cell r="D347">
            <v>0</v>
          </cell>
          <cell r="E347">
            <v>0</v>
          </cell>
        </row>
        <row r="348">
          <cell r="A348" t="str">
            <v>C</v>
          </cell>
          <cell r="B348">
            <v>330012</v>
          </cell>
          <cell r="C348" t="str">
            <v>Quota amm. avviamento</v>
          </cell>
          <cell r="D348">
            <v>0</v>
          </cell>
          <cell r="E348">
            <v>0</v>
          </cell>
        </row>
        <row r="349">
          <cell r="A349" t="str">
            <v>C</v>
          </cell>
          <cell r="B349">
            <v>330013</v>
          </cell>
          <cell r="C349" t="str">
            <v>Quota amm. spese d'imp.</v>
          </cell>
          <cell r="D349">
            <v>0</v>
          </cell>
          <cell r="E349">
            <v>0</v>
          </cell>
        </row>
        <row r="350">
          <cell r="A350" t="str">
            <v>C</v>
          </cell>
          <cell r="B350">
            <v>330014</v>
          </cell>
          <cell r="C350" t="str">
            <v>Quota amm.sp.man. anni prec</v>
          </cell>
          <cell r="D350">
            <v>0</v>
          </cell>
          <cell r="E350">
            <v>0</v>
          </cell>
        </row>
        <row r="351">
          <cell r="A351" t="str">
            <v>C</v>
          </cell>
          <cell r="B351">
            <v>330015</v>
          </cell>
          <cell r="C351" t="str">
            <v>Quota amm. riv. TFR</v>
          </cell>
          <cell r="D351">
            <v>0</v>
          </cell>
          <cell r="E351">
            <v>0</v>
          </cell>
        </row>
        <row r="352">
          <cell r="A352" t="str">
            <v>C</v>
          </cell>
          <cell r="B352">
            <v>330016</v>
          </cell>
          <cell r="C352" t="str">
            <v>Quota amm. imp. illum.</v>
          </cell>
          <cell r="D352">
            <v>0</v>
          </cell>
          <cell r="E352">
            <v>0</v>
          </cell>
        </row>
        <row r="353">
          <cell r="A353" t="str">
            <v>C</v>
          </cell>
          <cell r="B353">
            <v>330017</v>
          </cell>
          <cell r="C353" t="str">
            <v>Quota amm.sp. man. straord.</v>
          </cell>
          <cell r="D353">
            <v>0</v>
          </cell>
          <cell r="E353">
            <v>0</v>
          </cell>
        </row>
        <row r="354">
          <cell r="A354" t="str">
            <v>C</v>
          </cell>
          <cell r="B354">
            <v>330018</v>
          </cell>
          <cell r="C354" t="str">
            <v>Quota amm.autom ant.</v>
          </cell>
          <cell r="D354">
            <v>0</v>
          </cell>
          <cell r="E354">
            <v>0</v>
          </cell>
        </row>
        <row r="355">
          <cell r="A355" t="str">
            <v>C</v>
          </cell>
          <cell r="B355">
            <v>330019</v>
          </cell>
          <cell r="C355" t="str">
            <v>Quota amm. spese di ampl.</v>
          </cell>
          <cell r="D355">
            <v>0</v>
          </cell>
          <cell r="E355">
            <v>0</v>
          </cell>
        </row>
        <row r="356">
          <cell r="A356" t="str">
            <v>C</v>
          </cell>
          <cell r="B356">
            <v>330020</v>
          </cell>
          <cell r="C356" t="str">
            <v>Quota amm. fabbr. in econ.</v>
          </cell>
          <cell r="D356">
            <v>0</v>
          </cell>
          <cell r="E356">
            <v>0</v>
          </cell>
        </row>
        <row r="357">
          <cell r="A357" t="str">
            <v>C</v>
          </cell>
          <cell r="B357">
            <v>330021</v>
          </cell>
          <cell r="C357" t="str">
            <v>Quota amm. ant. macc.e imp</v>
          </cell>
          <cell r="D357">
            <v>0</v>
          </cell>
          <cell r="E357">
            <v>0</v>
          </cell>
        </row>
        <row r="358">
          <cell r="A358" t="str">
            <v>C</v>
          </cell>
          <cell r="B358">
            <v>330022</v>
          </cell>
          <cell r="C358" t="str">
            <v>Quota amm. ant. attrezz.</v>
          </cell>
          <cell r="D358">
            <v>200825</v>
          </cell>
          <cell r="E358">
            <v>0</v>
          </cell>
        </row>
        <row r="359">
          <cell r="A359" t="str">
            <v>C</v>
          </cell>
          <cell r="B359">
            <v>330023</v>
          </cell>
          <cell r="C359" t="str">
            <v>Quota amm. ant. fabb. in econ</v>
          </cell>
          <cell r="D359">
            <v>0</v>
          </cell>
          <cell r="E359">
            <v>0</v>
          </cell>
        </row>
        <row r="360">
          <cell r="A360" t="str">
            <v>C</v>
          </cell>
          <cell r="B360">
            <v>330024</v>
          </cell>
          <cell r="C360" t="str">
            <v>Quota amm.ant.macch.elettr.</v>
          </cell>
          <cell r="D360">
            <v>0</v>
          </cell>
          <cell r="E360">
            <v>0</v>
          </cell>
        </row>
        <row r="361">
          <cell r="A361" t="str">
            <v>C</v>
          </cell>
          <cell r="B361">
            <v>330025</v>
          </cell>
          <cell r="C361" t="str">
            <v>Quota amm. ant. mob. e arred</v>
          </cell>
          <cell r="D361">
            <v>0</v>
          </cell>
          <cell r="E361">
            <v>0</v>
          </cell>
        </row>
        <row r="362">
          <cell r="A362" t="str">
            <v>C</v>
          </cell>
          <cell r="B362">
            <v>330026</v>
          </cell>
          <cell r="C362" t="str">
            <v>Quota amm. ant. macch. uff.</v>
          </cell>
          <cell r="D362">
            <v>0</v>
          </cell>
          <cell r="E362">
            <v>0</v>
          </cell>
        </row>
        <row r="363">
          <cell r="A363" t="str">
            <v>C</v>
          </cell>
          <cell r="B363">
            <v>330027</v>
          </cell>
          <cell r="C363" t="str">
            <v>Quota amm. attrezz. econom</v>
          </cell>
          <cell r="D363">
            <v>0</v>
          </cell>
          <cell r="E363">
            <v>0</v>
          </cell>
        </row>
        <row r="364">
          <cell r="A364" t="str">
            <v>C</v>
          </cell>
          <cell r="B364">
            <v>34</v>
          </cell>
          <cell r="C364" t="str">
            <v>ONERI FINANZIARI</v>
          </cell>
          <cell r="D364">
            <v>18000</v>
          </cell>
          <cell r="E364">
            <v>500000</v>
          </cell>
        </row>
        <row r="365">
          <cell r="A365" t="str">
            <v>C</v>
          </cell>
          <cell r="B365">
            <v>340001</v>
          </cell>
          <cell r="C365" t="str">
            <v>Int. pass. v/banche</v>
          </cell>
          <cell r="D365">
            <v>0</v>
          </cell>
          <cell r="E365">
            <v>0</v>
          </cell>
        </row>
        <row r="366">
          <cell r="A366" t="str">
            <v>C</v>
          </cell>
          <cell r="B366">
            <v>340002</v>
          </cell>
          <cell r="C366" t="str">
            <v>Int. pass. v/fornit.</v>
          </cell>
          <cell r="D366">
            <v>0</v>
          </cell>
          <cell r="E366">
            <v>500000</v>
          </cell>
        </row>
        <row r="367">
          <cell r="A367" t="str">
            <v>C</v>
          </cell>
          <cell r="B367">
            <v>340003</v>
          </cell>
          <cell r="C367" t="str">
            <v>Int. pass. su mutui</v>
          </cell>
          <cell r="D367">
            <v>0</v>
          </cell>
          <cell r="E367">
            <v>0</v>
          </cell>
        </row>
        <row r="368">
          <cell r="A368" t="str">
            <v>C</v>
          </cell>
          <cell r="B368">
            <v>340004</v>
          </cell>
          <cell r="C368" t="str">
            <v>Int. pass. vari</v>
          </cell>
          <cell r="D368">
            <v>0</v>
          </cell>
          <cell r="E368">
            <v>0</v>
          </cell>
        </row>
        <row r="369">
          <cell r="A369" t="str">
            <v>C</v>
          </cell>
          <cell r="B369">
            <v>340005</v>
          </cell>
          <cell r="C369" t="str">
            <v>Oneri bancari</v>
          </cell>
          <cell r="D369">
            <v>18000</v>
          </cell>
          <cell r="E369">
            <v>0</v>
          </cell>
        </row>
        <row r="370">
          <cell r="A370" t="str">
            <v>C</v>
          </cell>
          <cell r="B370">
            <v>340006</v>
          </cell>
          <cell r="C370" t="str">
            <v>Int. pass. Iva indetr.</v>
          </cell>
          <cell r="D370">
            <v>0</v>
          </cell>
          <cell r="E370">
            <v>0</v>
          </cell>
        </row>
        <row r="371">
          <cell r="A371" t="str">
            <v>C</v>
          </cell>
          <cell r="B371">
            <v>35</v>
          </cell>
          <cell r="C371" t="str">
            <v>SVALUTAZIONI</v>
          </cell>
          <cell r="D371">
            <v>0</v>
          </cell>
          <cell r="E371">
            <v>0</v>
          </cell>
        </row>
        <row r="372">
          <cell r="A372" t="str">
            <v>C</v>
          </cell>
          <cell r="B372">
            <v>350001</v>
          </cell>
          <cell r="C372" t="str">
            <v>Svalutazioni</v>
          </cell>
          <cell r="D372">
            <v>0</v>
          </cell>
          <cell r="E372">
            <v>0</v>
          </cell>
        </row>
        <row r="373">
          <cell r="A373" t="str">
            <v>C</v>
          </cell>
          <cell r="B373">
            <v>36</v>
          </cell>
          <cell r="C373" t="str">
            <v>ONERI TRIBUTARI</v>
          </cell>
          <cell r="D373">
            <v>0</v>
          </cell>
          <cell r="E373">
            <v>0</v>
          </cell>
        </row>
        <row r="374">
          <cell r="A374" t="str">
            <v>C</v>
          </cell>
          <cell r="B374">
            <v>360001</v>
          </cell>
          <cell r="C374" t="str">
            <v>Imposte eserc. prec.</v>
          </cell>
          <cell r="D374">
            <v>0</v>
          </cell>
          <cell r="E374">
            <v>0</v>
          </cell>
        </row>
        <row r="375">
          <cell r="A375" t="str">
            <v>C</v>
          </cell>
          <cell r="B375">
            <v>360002</v>
          </cell>
          <cell r="C375" t="str">
            <v>IRPEF dell'eserc.</v>
          </cell>
          <cell r="D375">
            <v>0</v>
          </cell>
          <cell r="E375">
            <v>0</v>
          </cell>
        </row>
        <row r="376">
          <cell r="A376" t="str">
            <v>C</v>
          </cell>
          <cell r="B376">
            <v>360003</v>
          </cell>
          <cell r="C376" t="str">
            <v>ILOR dell'eserc.</v>
          </cell>
          <cell r="D376">
            <v>0</v>
          </cell>
          <cell r="E376">
            <v>0</v>
          </cell>
        </row>
        <row r="377">
          <cell r="A377" t="str">
            <v>C</v>
          </cell>
          <cell r="B377">
            <v>360004</v>
          </cell>
          <cell r="C377" t="str">
            <v>IRPEG dell'eserc.</v>
          </cell>
          <cell r="D377">
            <v>0</v>
          </cell>
          <cell r="E377">
            <v>0</v>
          </cell>
        </row>
        <row r="378">
          <cell r="A378" t="str">
            <v>C</v>
          </cell>
          <cell r="B378">
            <v>360005</v>
          </cell>
          <cell r="C378" t="str">
            <v>Add. ILOR dell'eserc.</v>
          </cell>
          <cell r="D378">
            <v>0</v>
          </cell>
          <cell r="E378">
            <v>0</v>
          </cell>
        </row>
        <row r="379">
          <cell r="A379" t="str">
            <v>C</v>
          </cell>
          <cell r="B379">
            <v>37</v>
          </cell>
          <cell r="C379" t="str">
            <v>ACCANTONAMENTI</v>
          </cell>
          <cell r="D379">
            <v>63299</v>
          </cell>
          <cell r="E379">
            <v>0</v>
          </cell>
        </row>
        <row r="380">
          <cell r="A380" t="str">
            <v>C</v>
          </cell>
          <cell r="B380">
            <v>370001</v>
          </cell>
          <cell r="C380" t="str">
            <v>Quota sval. crediti</v>
          </cell>
          <cell r="D380">
            <v>0</v>
          </cell>
          <cell r="E380">
            <v>0</v>
          </cell>
        </row>
        <row r="381">
          <cell r="A381" t="str">
            <v>C</v>
          </cell>
          <cell r="B381">
            <v>370002</v>
          </cell>
          <cell r="C381" t="str">
            <v>Indennità fine rapp.</v>
          </cell>
          <cell r="D381">
            <v>63299</v>
          </cell>
          <cell r="E381">
            <v>0</v>
          </cell>
        </row>
        <row r="382">
          <cell r="A382" t="str">
            <v>C</v>
          </cell>
          <cell r="B382">
            <v>38</v>
          </cell>
          <cell r="C382" t="str">
            <v>ONERI STRAORDINARI</v>
          </cell>
          <cell r="D382">
            <v>0</v>
          </cell>
          <cell r="E382">
            <v>0</v>
          </cell>
        </row>
        <row r="383">
          <cell r="A383" t="str">
            <v>C</v>
          </cell>
          <cell r="B383">
            <v>380001</v>
          </cell>
          <cell r="C383" t="str">
            <v>Minusvalenze</v>
          </cell>
          <cell r="D383">
            <v>0</v>
          </cell>
          <cell r="E383">
            <v>0</v>
          </cell>
        </row>
        <row r="384">
          <cell r="A384" t="str">
            <v>C</v>
          </cell>
          <cell r="B384">
            <v>380002</v>
          </cell>
          <cell r="C384" t="str">
            <v>Insussistenze pass.</v>
          </cell>
          <cell r="D384">
            <v>0</v>
          </cell>
          <cell r="E384">
            <v>0</v>
          </cell>
        </row>
        <row r="385">
          <cell r="A385" t="str">
            <v>C</v>
          </cell>
          <cell r="B385">
            <v>380003</v>
          </cell>
          <cell r="C385" t="str">
            <v>Sopravvenienze pass.</v>
          </cell>
          <cell r="D385">
            <v>0</v>
          </cell>
          <cell r="E385">
            <v>0</v>
          </cell>
        </row>
        <row r="386">
          <cell r="A386" t="str">
            <v>C</v>
          </cell>
          <cell r="B386">
            <v>380004</v>
          </cell>
          <cell r="C386" t="str">
            <v>Insussist.ze pass. ind.li</v>
          </cell>
          <cell r="D386">
            <v>0</v>
          </cell>
          <cell r="E386">
            <v>0</v>
          </cell>
        </row>
        <row r="387">
          <cell r="A387" t="str">
            <v>C</v>
          </cell>
          <cell r="B387">
            <v>380005</v>
          </cell>
          <cell r="C387" t="str">
            <v>Sopravv. pass. ind.li</v>
          </cell>
          <cell r="D387">
            <v>0</v>
          </cell>
          <cell r="E387">
            <v>0</v>
          </cell>
        </row>
        <row r="388">
          <cell r="A388" t="str">
            <v>C</v>
          </cell>
          <cell r="B388">
            <v>39</v>
          </cell>
          <cell r="C388" t="str">
            <v>COSTI SOCIETARI</v>
          </cell>
          <cell r="D388">
            <v>0</v>
          </cell>
          <cell r="E388">
            <v>0</v>
          </cell>
        </row>
        <row r="389">
          <cell r="A389" t="str">
            <v>C</v>
          </cell>
          <cell r="B389">
            <v>390001</v>
          </cell>
          <cell r="C389" t="str">
            <v>Compensi amministr.</v>
          </cell>
          <cell r="D389">
            <v>0</v>
          </cell>
          <cell r="E389">
            <v>0</v>
          </cell>
        </row>
        <row r="390">
          <cell r="A390" t="str">
            <v>C</v>
          </cell>
          <cell r="B390">
            <v>390002</v>
          </cell>
          <cell r="C390" t="str">
            <v>Compensi sindaci</v>
          </cell>
          <cell r="D390">
            <v>0</v>
          </cell>
          <cell r="E390">
            <v>0</v>
          </cell>
        </row>
        <row r="391">
          <cell r="A391" t="str">
            <v>C</v>
          </cell>
          <cell r="B391">
            <v>40</v>
          </cell>
          <cell r="C391" t="str">
            <v>SPESE GENERALI DI AMM.</v>
          </cell>
          <cell r="D391">
            <v>7059813</v>
          </cell>
          <cell r="E391">
            <v>6499807</v>
          </cell>
        </row>
        <row r="392">
          <cell r="A392" t="str">
            <v>C</v>
          </cell>
          <cell r="B392">
            <v>400001</v>
          </cell>
          <cell r="C392" t="str">
            <v>Spese postali</v>
          </cell>
          <cell r="D392">
            <v>0</v>
          </cell>
          <cell r="E392">
            <v>0</v>
          </cell>
        </row>
        <row r="393">
          <cell r="A393" t="str">
            <v>C</v>
          </cell>
          <cell r="B393">
            <v>400002</v>
          </cell>
          <cell r="C393" t="str">
            <v>Spese di cancelleria</v>
          </cell>
          <cell r="D393">
            <v>0</v>
          </cell>
          <cell r="E393">
            <v>4202</v>
          </cell>
        </row>
        <row r="394">
          <cell r="A394" t="str">
            <v>C</v>
          </cell>
          <cell r="B394">
            <v>400003</v>
          </cell>
          <cell r="C394" t="str">
            <v>Fitti passivi</v>
          </cell>
          <cell r="D394">
            <v>0</v>
          </cell>
          <cell r="E394">
            <v>0</v>
          </cell>
        </row>
        <row r="395">
          <cell r="A395" t="str">
            <v>C</v>
          </cell>
          <cell r="B395">
            <v>400004</v>
          </cell>
          <cell r="C395" t="str">
            <v>Spese di rappres. inter.deduc.</v>
          </cell>
          <cell r="D395">
            <v>0</v>
          </cell>
          <cell r="E395">
            <v>0</v>
          </cell>
        </row>
        <row r="396">
          <cell r="A396" t="str">
            <v>C</v>
          </cell>
          <cell r="B396">
            <v>400005</v>
          </cell>
          <cell r="C396" t="str">
            <v>Perdite su crediti</v>
          </cell>
          <cell r="D396">
            <v>0</v>
          </cell>
          <cell r="E396">
            <v>0</v>
          </cell>
        </row>
        <row r="397">
          <cell r="A397" t="str">
            <v>C</v>
          </cell>
          <cell r="B397">
            <v>400006</v>
          </cell>
          <cell r="C397" t="str">
            <v>Enasarco</v>
          </cell>
          <cell r="D397">
            <v>0</v>
          </cell>
          <cell r="E397">
            <v>0</v>
          </cell>
        </row>
        <row r="398">
          <cell r="A398" t="str">
            <v>C</v>
          </cell>
          <cell r="B398">
            <v>400007</v>
          </cell>
          <cell r="C398" t="str">
            <v>Spese per canone acqua</v>
          </cell>
          <cell r="D398">
            <v>0</v>
          </cell>
          <cell r="E398">
            <v>0</v>
          </cell>
        </row>
        <row r="399">
          <cell r="A399" t="str">
            <v>C</v>
          </cell>
          <cell r="B399">
            <v>400008</v>
          </cell>
          <cell r="C399" t="str">
            <v>Spese per vidimaz. libri soc.</v>
          </cell>
          <cell r="D399">
            <v>200000</v>
          </cell>
          <cell r="E399">
            <v>0</v>
          </cell>
        </row>
        <row r="400">
          <cell r="A400" t="str">
            <v>C</v>
          </cell>
          <cell r="B400">
            <v>400009</v>
          </cell>
          <cell r="C400" t="str">
            <v xml:space="preserve">Contributi assist. comm. </v>
          </cell>
          <cell r="D400">
            <v>0</v>
          </cell>
          <cell r="E400">
            <v>0</v>
          </cell>
        </row>
        <row r="401">
          <cell r="A401" t="str">
            <v>C</v>
          </cell>
          <cell r="B401">
            <v>400010</v>
          </cell>
          <cell r="C401" t="str">
            <v>Contributi assist. artig.</v>
          </cell>
          <cell r="D401">
            <v>0</v>
          </cell>
          <cell r="E401">
            <v>0</v>
          </cell>
        </row>
        <row r="402">
          <cell r="A402" t="str">
            <v>C</v>
          </cell>
          <cell r="B402">
            <v>400011</v>
          </cell>
          <cell r="C402" t="str">
            <v>Tasse di concessione gover.</v>
          </cell>
          <cell r="D402">
            <v>100000</v>
          </cell>
          <cell r="E402">
            <v>1003600</v>
          </cell>
        </row>
        <row r="403">
          <cell r="A403" t="str">
            <v>C</v>
          </cell>
          <cell r="B403">
            <v>400012</v>
          </cell>
          <cell r="C403" t="str">
            <v>Beni strument. &lt;1.000.000</v>
          </cell>
          <cell r="D403">
            <v>0</v>
          </cell>
          <cell r="E403">
            <v>0</v>
          </cell>
        </row>
        <row r="404">
          <cell r="A404" t="str">
            <v>C</v>
          </cell>
          <cell r="B404">
            <v>400013</v>
          </cell>
          <cell r="C404" t="str">
            <v>Altre spese e perdite</v>
          </cell>
          <cell r="D404">
            <v>6507525</v>
          </cell>
          <cell r="E404">
            <v>4920305</v>
          </cell>
        </row>
        <row r="405">
          <cell r="A405" t="str">
            <v>C</v>
          </cell>
          <cell r="B405">
            <v>400014</v>
          </cell>
          <cell r="C405" t="str">
            <v xml:space="preserve">Altre tasse comunali </v>
          </cell>
          <cell r="D405">
            <v>0</v>
          </cell>
          <cell r="E405">
            <v>0</v>
          </cell>
        </row>
        <row r="406">
          <cell r="A406" t="str">
            <v>C</v>
          </cell>
          <cell r="B406">
            <v>400015</v>
          </cell>
          <cell r="C406" t="str">
            <v xml:space="preserve">Spese notarili </v>
          </cell>
          <cell r="D406">
            <v>0</v>
          </cell>
          <cell r="E406">
            <v>0</v>
          </cell>
        </row>
        <row r="407">
          <cell r="A407" t="str">
            <v>C</v>
          </cell>
          <cell r="B407">
            <v>400016</v>
          </cell>
          <cell r="C407" t="str">
            <v>Tributi diversi</v>
          </cell>
          <cell r="D407">
            <v>244288</v>
          </cell>
          <cell r="E407">
            <v>571700</v>
          </cell>
        </row>
        <row r="408">
          <cell r="A408" t="str">
            <v>C</v>
          </cell>
          <cell r="B408">
            <v>400017</v>
          </cell>
          <cell r="C408" t="str">
            <v>Spese promozionali</v>
          </cell>
          <cell r="D408">
            <v>0</v>
          </cell>
          <cell r="E408">
            <v>0</v>
          </cell>
        </row>
        <row r="409">
          <cell r="A409" t="str">
            <v>C</v>
          </cell>
          <cell r="B409">
            <v>400018</v>
          </cell>
          <cell r="C409" t="str">
            <v>Spese valori bollati</v>
          </cell>
          <cell r="D409">
            <v>8000</v>
          </cell>
          <cell r="E409">
            <v>0</v>
          </cell>
        </row>
        <row r="410">
          <cell r="A410" t="str">
            <v>C</v>
          </cell>
          <cell r="B410">
            <v>400019</v>
          </cell>
          <cell r="C410" t="str">
            <v>Spese di liberalità</v>
          </cell>
          <cell r="D410">
            <v>0</v>
          </cell>
          <cell r="E410">
            <v>0</v>
          </cell>
        </row>
        <row r="411">
          <cell r="A411" t="str">
            <v>C</v>
          </cell>
          <cell r="B411">
            <v>400020</v>
          </cell>
          <cell r="C411" t="str">
            <v>Costi fiscalmente ind.li</v>
          </cell>
          <cell r="D411">
            <v>0</v>
          </cell>
          <cell r="E411">
            <v>0</v>
          </cell>
        </row>
        <row r="412">
          <cell r="A412" t="str">
            <v>C</v>
          </cell>
          <cell r="B412">
            <v>400021</v>
          </cell>
          <cell r="C412" t="str">
            <v>Spese di liberalità 2%</v>
          </cell>
          <cell r="D412">
            <v>0</v>
          </cell>
          <cell r="E412">
            <v>0</v>
          </cell>
        </row>
        <row r="413">
          <cell r="A413" t="str">
            <v>C</v>
          </cell>
          <cell r="B413">
            <v>400022</v>
          </cell>
          <cell r="C413" t="str">
            <v>Acq. reg. di cassa &lt;1.500.000</v>
          </cell>
          <cell r="D413">
            <v>0</v>
          </cell>
          <cell r="E413">
            <v>0</v>
          </cell>
        </row>
        <row r="414">
          <cell r="A414" t="str">
            <v>C</v>
          </cell>
          <cell r="B414">
            <v>400023</v>
          </cell>
          <cell r="C414" t="str">
            <v>Compet.ze c/associato</v>
          </cell>
          <cell r="D414">
            <v>0</v>
          </cell>
          <cell r="E414">
            <v>0</v>
          </cell>
        </row>
        <row r="415">
          <cell r="A415" t="str">
            <v>C</v>
          </cell>
          <cell r="B415">
            <v>400024</v>
          </cell>
          <cell r="C415" t="str">
            <v>Compensi a terzi</v>
          </cell>
          <cell r="D415">
            <v>0</v>
          </cell>
          <cell r="E415">
            <v>0</v>
          </cell>
        </row>
        <row r="416">
          <cell r="A416" t="str">
            <v>C</v>
          </cell>
          <cell r="B416">
            <v>400025</v>
          </cell>
          <cell r="C416" t="str">
            <v>Spese di liberalità 5x1000</v>
          </cell>
          <cell r="D416">
            <v>0</v>
          </cell>
          <cell r="E416">
            <v>0</v>
          </cell>
        </row>
        <row r="417">
          <cell r="A417" t="str">
            <v>C</v>
          </cell>
          <cell r="B417">
            <v>400026</v>
          </cell>
          <cell r="C417" t="str">
            <v>Spese rappres. ind.li (2/3)</v>
          </cell>
          <cell r="D417">
            <v>0</v>
          </cell>
          <cell r="E417">
            <v>0</v>
          </cell>
        </row>
        <row r="418">
          <cell r="A418" t="str">
            <v>C</v>
          </cell>
          <cell r="B418">
            <v>400027</v>
          </cell>
          <cell r="C418" t="str">
            <v>Spese rappres.da amm. (1/3)</v>
          </cell>
          <cell r="D418">
            <v>0</v>
          </cell>
          <cell r="E418">
            <v>0</v>
          </cell>
        </row>
        <row r="419">
          <cell r="A419" t="str">
            <v>C</v>
          </cell>
          <cell r="B419">
            <v>400028</v>
          </cell>
          <cell r="C419" t="str">
            <v>Spese liberal. dipend.</v>
          </cell>
          <cell r="D419">
            <v>0</v>
          </cell>
          <cell r="E419">
            <v>0</v>
          </cell>
        </row>
        <row r="420">
          <cell r="A420" t="str">
            <v>C</v>
          </cell>
          <cell r="B420">
            <v>400029</v>
          </cell>
          <cell r="C420" t="str">
            <v>Oneri da condono ind.li</v>
          </cell>
          <cell r="D420">
            <v>0</v>
          </cell>
          <cell r="E420">
            <v>0</v>
          </cell>
        </row>
        <row r="421">
          <cell r="A421" t="str">
            <v>C</v>
          </cell>
          <cell r="B421">
            <v>400030</v>
          </cell>
          <cell r="C421" t="str">
            <v>IVA da condono ind.le</v>
          </cell>
          <cell r="D421">
            <v>0</v>
          </cell>
          <cell r="E421">
            <v>0</v>
          </cell>
        </row>
        <row r="422">
          <cell r="A422" t="str">
            <v>C</v>
          </cell>
          <cell r="B422">
            <v>400031</v>
          </cell>
          <cell r="C422" t="str">
            <v>Imposta condono ind.le</v>
          </cell>
          <cell r="D422">
            <v>0</v>
          </cell>
          <cell r="E422">
            <v>0</v>
          </cell>
        </row>
        <row r="423">
          <cell r="A423" t="str">
            <v>C</v>
          </cell>
          <cell r="B423">
            <v>400032</v>
          </cell>
          <cell r="C423" t="str">
            <v>Imposta patrim. ind.le</v>
          </cell>
          <cell r="D423">
            <v>0</v>
          </cell>
          <cell r="E423">
            <v>0</v>
          </cell>
        </row>
        <row r="424">
          <cell r="A424" t="str">
            <v>C</v>
          </cell>
          <cell r="B424">
            <v>400033</v>
          </cell>
          <cell r="C424" t="str">
            <v>IVA da adeguam. ind.le</v>
          </cell>
          <cell r="D424">
            <v>0</v>
          </cell>
          <cell r="E424">
            <v>0</v>
          </cell>
        </row>
        <row r="425">
          <cell r="A425" t="str">
            <v>C</v>
          </cell>
          <cell r="B425">
            <v>400034</v>
          </cell>
          <cell r="C425" t="str">
            <v>Contr. ass. comm. anni prec.</v>
          </cell>
          <cell r="D425">
            <v>0</v>
          </cell>
          <cell r="E425">
            <v>0</v>
          </cell>
        </row>
        <row r="426">
          <cell r="A426" t="str">
            <v>C</v>
          </cell>
          <cell r="B426">
            <v>41</v>
          </cell>
          <cell r="C426" t="str">
            <v>ARROTONDAMENTI IVA</v>
          </cell>
          <cell r="D426">
            <v>0</v>
          </cell>
          <cell r="E426">
            <v>0</v>
          </cell>
        </row>
        <row r="427">
          <cell r="A427" t="str">
            <v>C</v>
          </cell>
          <cell r="B427">
            <v>410001</v>
          </cell>
          <cell r="C427" t="str">
            <v>Arrot. neg. versam. IVA</v>
          </cell>
          <cell r="D427">
            <v>0</v>
          </cell>
          <cell r="E427">
            <v>0</v>
          </cell>
        </row>
        <row r="428">
          <cell r="A428" t="str">
            <v>C</v>
          </cell>
          <cell r="B428">
            <v>410002</v>
          </cell>
          <cell r="C428" t="str">
            <v>Arrot. neg. annuali. IVA</v>
          </cell>
          <cell r="D428">
            <v>0</v>
          </cell>
          <cell r="E428">
            <v>0</v>
          </cell>
        </row>
        <row r="429">
          <cell r="A429" t="str">
            <v>C</v>
          </cell>
          <cell r="B429">
            <v>42</v>
          </cell>
          <cell r="C429" t="str">
            <v>SPESE DI FAMIGLIA</v>
          </cell>
          <cell r="D429">
            <v>0</v>
          </cell>
          <cell r="E429">
            <v>0</v>
          </cell>
        </row>
        <row r="430">
          <cell r="B430">
            <v>420001</v>
          </cell>
          <cell r="C430" t="str">
            <v>Spese famiglia ind.li</v>
          </cell>
          <cell r="D430">
            <v>0</v>
          </cell>
          <cell r="E430">
            <v>0</v>
          </cell>
        </row>
        <row r="431">
          <cell r="C431" t="str">
            <v>TOTALE COSTI</v>
          </cell>
          <cell r="D431">
            <v>132852353</v>
          </cell>
          <cell r="E431">
            <v>168018419</v>
          </cell>
        </row>
        <row r="432">
          <cell r="C432" t="str">
            <v>Utile esercizio attuale</v>
          </cell>
          <cell r="D432">
            <v>17618664</v>
          </cell>
          <cell r="E432">
            <v>8547266</v>
          </cell>
        </row>
        <row r="433">
          <cell r="C433" t="str">
            <v>TOTALE A PAREGGIO</v>
          </cell>
          <cell r="D433">
            <v>150471017</v>
          </cell>
          <cell r="E433">
            <v>176565685</v>
          </cell>
        </row>
        <row r="435">
          <cell r="A435" t="str">
            <v>CONTO ECONOMICO - RICAVI</v>
          </cell>
        </row>
        <row r="436">
          <cell r="A436" t="str">
            <v>R</v>
          </cell>
          <cell r="B436">
            <v>43</v>
          </cell>
          <cell r="C436" t="str">
            <v>RICAVI D'ESERCIZIO</v>
          </cell>
          <cell r="D436">
            <v>109417676</v>
          </cell>
          <cell r="E436">
            <v>112996436</v>
          </cell>
        </row>
        <row r="437">
          <cell r="A437" t="str">
            <v>R</v>
          </cell>
          <cell r="B437">
            <v>430001</v>
          </cell>
          <cell r="C437" t="str">
            <v>Vendite beni m/fatt.</v>
          </cell>
          <cell r="D437">
            <v>0</v>
          </cell>
          <cell r="E437">
            <v>0</v>
          </cell>
        </row>
        <row r="438">
          <cell r="A438" t="str">
            <v>R</v>
          </cell>
          <cell r="B438">
            <v>430002</v>
          </cell>
          <cell r="C438" t="str">
            <v>Prestaz. serv. m/fatt.</v>
          </cell>
          <cell r="D438">
            <v>0</v>
          </cell>
          <cell r="E438">
            <v>0</v>
          </cell>
        </row>
        <row r="439">
          <cell r="A439" t="str">
            <v>R</v>
          </cell>
          <cell r="B439">
            <v>430003</v>
          </cell>
          <cell r="C439" t="str">
            <v>Prestaz. serv. m/ric. fisc.</v>
          </cell>
          <cell r="D439">
            <v>0</v>
          </cell>
          <cell r="E439">
            <v>0</v>
          </cell>
        </row>
        <row r="440">
          <cell r="A440" t="str">
            <v>R</v>
          </cell>
          <cell r="B440">
            <v>430004</v>
          </cell>
          <cell r="C440" t="str">
            <v>Vendita beni corrisp.</v>
          </cell>
          <cell r="D440">
            <v>109417676</v>
          </cell>
          <cell r="E440">
            <v>112996436</v>
          </cell>
        </row>
        <row r="441">
          <cell r="A441" t="str">
            <v>R</v>
          </cell>
          <cell r="B441">
            <v>430005</v>
          </cell>
          <cell r="C441" t="str">
            <v>Lavorazione c/terzi</v>
          </cell>
          <cell r="D441">
            <v>0</v>
          </cell>
          <cell r="E441">
            <v>0</v>
          </cell>
        </row>
        <row r="442">
          <cell r="A442" t="str">
            <v>R</v>
          </cell>
          <cell r="B442">
            <v>430006</v>
          </cell>
          <cell r="C442" t="str">
            <v>Provvigioni attive</v>
          </cell>
          <cell r="D442">
            <v>0</v>
          </cell>
          <cell r="E442">
            <v>0</v>
          </cell>
        </row>
        <row r="443">
          <cell r="A443" t="str">
            <v>R</v>
          </cell>
          <cell r="B443">
            <v>430007</v>
          </cell>
          <cell r="C443" t="str">
            <v>Materie prime c/vendite</v>
          </cell>
          <cell r="D443">
            <v>0</v>
          </cell>
          <cell r="E443">
            <v>0</v>
          </cell>
        </row>
        <row r="444">
          <cell r="A444" t="str">
            <v>R</v>
          </cell>
          <cell r="B444">
            <v>430008</v>
          </cell>
          <cell r="C444" t="str">
            <v>Materie prime c/vendite</v>
          </cell>
          <cell r="D444">
            <v>0</v>
          </cell>
          <cell r="E444">
            <v>0</v>
          </cell>
        </row>
        <row r="445">
          <cell r="A445" t="str">
            <v>R</v>
          </cell>
          <cell r="B445">
            <v>430009</v>
          </cell>
          <cell r="C445" t="str">
            <v>Materie sussid. c/vendite</v>
          </cell>
          <cell r="D445">
            <v>0</v>
          </cell>
          <cell r="E445">
            <v>0</v>
          </cell>
        </row>
        <row r="446">
          <cell r="A446" t="str">
            <v>R</v>
          </cell>
          <cell r="B446">
            <v>430010</v>
          </cell>
          <cell r="C446" t="str">
            <v>Prodotti finiti c/vendite</v>
          </cell>
          <cell r="D446">
            <v>0</v>
          </cell>
          <cell r="E446">
            <v>0</v>
          </cell>
        </row>
        <row r="447">
          <cell r="A447" t="str">
            <v>R</v>
          </cell>
          <cell r="B447">
            <v>44</v>
          </cell>
          <cell r="C447" t="str">
            <v>RETTIFICHE DI COSTI</v>
          </cell>
          <cell r="D447">
            <v>41341</v>
          </cell>
          <cell r="E447">
            <v>117663</v>
          </cell>
        </row>
        <row r="448">
          <cell r="A448" t="str">
            <v>R</v>
          </cell>
          <cell r="B448">
            <v>440001</v>
          </cell>
          <cell r="C448" t="str">
            <v>Abbuoni e ribassi attivi</v>
          </cell>
          <cell r="D448">
            <v>14483</v>
          </cell>
          <cell r="E448">
            <v>17663</v>
          </cell>
        </row>
        <row r="449">
          <cell r="A449" t="str">
            <v>R</v>
          </cell>
          <cell r="B449">
            <v>440002</v>
          </cell>
          <cell r="C449" t="str">
            <v>Sconti attivi</v>
          </cell>
          <cell r="D449">
            <v>20558</v>
          </cell>
          <cell r="E449">
            <v>0</v>
          </cell>
        </row>
        <row r="450">
          <cell r="A450" t="str">
            <v>R</v>
          </cell>
          <cell r="B450">
            <v>440003</v>
          </cell>
          <cell r="C450" t="str">
            <v>Resi su acquisti</v>
          </cell>
          <cell r="D450">
            <v>0</v>
          </cell>
          <cell r="E450">
            <v>0</v>
          </cell>
        </row>
        <row r="451">
          <cell r="A451" t="str">
            <v>R</v>
          </cell>
          <cell r="B451">
            <v>440004</v>
          </cell>
          <cell r="C451" t="str">
            <v>Campioni omaggio</v>
          </cell>
          <cell r="D451">
            <v>0</v>
          </cell>
          <cell r="E451">
            <v>0</v>
          </cell>
        </row>
        <row r="452">
          <cell r="A452" t="str">
            <v>R</v>
          </cell>
          <cell r="B452">
            <v>440005</v>
          </cell>
          <cell r="C452" t="str">
            <v>Sgravi INPS legge 183</v>
          </cell>
          <cell r="D452">
            <v>0</v>
          </cell>
          <cell r="E452">
            <v>0</v>
          </cell>
        </row>
        <row r="453">
          <cell r="A453" t="str">
            <v>R</v>
          </cell>
          <cell r="B453">
            <v>440006</v>
          </cell>
          <cell r="C453" t="str">
            <v>Fiscal. INPS oneri sociali</v>
          </cell>
          <cell r="D453">
            <v>0</v>
          </cell>
          <cell r="E453">
            <v>0</v>
          </cell>
        </row>
        <row r="454">
          <cell r="A454" t="str">
            <v>R</v>
          </cell>
          <cell r="B454">
            <v>440007</v>
          </cell>
          <cell r="C454" t="str">
            <v>Sgravi INPS legge 1089</v>
          </cell>
          <cell r="D454">
            <v>0</v>
          </cell>
          <cell r="E454">
            <v>0</v>
          </cell>
        </row>
        <row r="455">
          <cell r="A455" t="str">
            <v>R</v>
          </cell>
          <cell r="B455">
            <v>440008</v>
          </cell>
          <cell r="C455" t="str">
            <v>Spese manut. 5% rinviate</v>
          </cell>
          <cell r="D455">
            <v>0</v>
          </cell>
          <cell r="E455">
            <v>0</v>
          </cell>
        </row>
        <row r="456">
          <cell r="A456" t="str">
            <v>R</v>
          </cell>
          <cell r="B456">
            <v>440009</v>
          </cell>
          <cell r="C456" t="str">
            <v>Spese manut. 25% rinviate</v>
          </cell>
          <cell r="D456">
            <v>0</v>
          </cell>
          <cell r="E456">
            <v>0</v>
          </cell>
        </row>
        <row r="457">
          <cell r="A457" t="str">
            <v>R</v>
          </cell>
          <cell r="B457">
            <v>440010</v>
          </cell>
          <cell r="C457" t="str">
            <v>Premi su acquisti</v>
          </cell>
          <cell r="D457">
            <v>6300</v>
          </cell>
          <cell r="E457">
            <v>100000</v>
          </cell>
        </row>
        <row r="458">
          <cell r="A458" t="str">
            <v>R</v>
          </cell>
          <cell r="B458">
            <v>440011</v>
          </cell>
          <cell r="C458" t="str">
            <v>Rimborso compet.ze bancar.</v>
          </cell>
          <cell r="D458">
            <v>0</v>
          </cell>
          <cell r="E458">
            <v>0</v>
          </cell>
        </row>
        <row r="459">
          <cell r="A459" t="str">
            <v>R</v>
          </cell>
          <cell r="B459">
            <v>440012</v>
          </cell>
          <cell r="C459" t="str">
            <v>Utilizzo fondo TFR</v>
          </cell>
          <cell r="D459">
            <v>0</v>
          </cell>
          <cell r="E459">
            <v>0</v>
          </cell>
        </row>
        <row r="460">
          <cell r="A460" t="str">
            <v>R</v>
          </cell>
          <cell r="B460">
            <v>45</v>
          </cell>
          <cell r="C460" t="str">
            <v>PROVENTI VARI</v>
          </cell>
          <cell r="D460">
            <v>0</v>
          </cell>
          <cell r="E460">
            <v>0</v>
          </cell>
        </row>
        <row r="461">
          <cell r="A461" t="str">
            <v>R</v>
          </cell>
          <cell r="B461">
            <v>450001</v>
          </cell>
          <cell r="C461" t="str">
            <v>Interessi att. clienti</v>
          </cell>
          <cell r="D461">
            <v>0</v>
          </cell>
          <cell r="E461">
            <v>0</v>
          </cell>
        </row>
        <row r="462">
          <cell r="A462" t="str">
            <v>R</v>
          </cell>
          <cell r="B462">
            <v>450002</v>
          </cell>
          <cell r="C462" t="str">
            <v>Interessi att. banche</v>
          </cell>
          <cell r="D462">
            <v>0</v>
          </cell>
          <cell r="E462">
            <v>0</v>
          </cell>
        </row>
        <row r="463">
          <cell r="A463" t="str">
            <v>R</v>
          </cell>
          <cell r="B463">
            <v>450003</v>
          </cell>
          <cell r="C463" t="str">
            <v>Altri interessi att.</v>
          </cell>
          <cell r="D463">
            <v>0</v>
          </cell>
          <cell r="E463">
            <v>0</v>
          </cell>
        </row>
        <row r="464">
          <cell r="A464" t="str">
            <v>R</v>
          </cell>
          <cell r="B464">
            <v>450004</v>
          </cell>
          <cell r="C464" t="str">
            <v>Recuperi di spese</v>
          </cell>
          <cell r="D464">
            <v>0</v>
          </cell>
          <cell r="E464">
            <v>0</v>
          </cell>
        </row>
        <row r="465">
          <cell r="A465" t="str">
            <v>R</v>
          </cell>
          <cell r="B465">
            <v>450005</v>
          </cell>
          <cell r="C465" t="str">
            <v xml:space="preserve"> + 6% Iva beni strum.</v>
          </cell>
          <cell r="D465">
            <v>0</v>
          </cell>
          <cell r="E465">
            <v>0</v>
          </cell>
        </row>
        <row r="466">
          <cell r="A466" t="str">
            <v>R</v>
          </cell>
          <cell r="B466">
            <v>450006</v>
          </cell>
          <cell r="C466" t="str">
            <v>Altri proventi</v>
          </cell>
          <cell r="D466">
            <v>0</v>
          </cell>
          <cell r="E466">
            <v>0</v>
          </cell>
        </row>
        <row r="467">
          <cell r="A467" t="str">
            <v>R</v>
          </cell>
          <cell r="B467">
            <v>450007</v>
          </cell>
          <cell r="C467" t="str">
            <v xml:space="preserve"> + 4% Iva beni strum.</v>
          </cell>
          <cell r="D467">
            <v>0</v>
          </cell>
          <cell r="E467">
            <v>0</v>
          </cell>
        </row>
        <row r="468">
          <cell r="A468" t="str">
            <v>R</v>
          </cell>
          <cell r="B468">
            <v>450008</v>
          </cell>
          <cell r="C468" t="str">
            <v>Dividendi su partecipaz.</v>
          </cell>
          <cell r="D468">
            <v>0</v>
          </cell>
          <cell r="E468">
            <v>0</v>
          </cell>
        </row>
        <row r="469">
          <cell r="A469" t="str">
            <v>R</v>
          </cell>
          <cell r="B469">
            <v>450009</v>
          </cell>
          <cell r="C469" t="str">
            <v>Maggioraz.ne cred. d'impost.</v>
          </cell>
          <cell r="D469">
            <v>0</v>
          </cell>
          <cell r="E469">
            <v>0</v>
          </cell>
        </row>
        <row r="470">
          <cell r="A470" t="str">
            <v>R</v>
          </cell>
          <cell r="B470">
            <v>450010</v>
          </cell>
          <cell r="C470" t="str">
            <v>Utili tassaz. sospesa</v>
          </cell>
          <cell r="D470">
            <v>0</v>
          </cell>
          <cell r="E470">
            <v>0</v>
          </cell>
        </row>
        <row r="471">
          <cell r="A471" t="str">
            <v>R</v>
          </cell>
          <cell r="B471">
            <v>46</v>
          </cell>
          <cell r="C471" t="str">
            <v>PROVENTI STRAORDINARI</v>
          </cell>
          <cell r="D471">
            <v>0</v>
          </cell>
          <cell r="E471">
            <v>0</v>
          </cell>
        </row>
        <row r="472">
          <cell r="A472" t="str">
            <v>R</v>
          </cell>
          <cell r="B472">
            <v>460001</v>
          </cell>
          <cell r="C472" t="str">
            <v>Plusvalenze</v>
          </cell>
          <cell r="D472">
            <v>0</v>
          </cell>
          <cell r="E472">
            <v>0</v>
          </cell>
        </row>
        <row r="473">
          <cell r="A473" t="str">
            <v>R</v>
          </cell>
          <cell r="B473">
            <v>460002</v>
          </cell>
          <cell r="C473" t="str">
            <v>Insussistenze attive</v>
          </cell>
          <cell r="D473">
            <v>0</v>
          </cell>
          <cell r="E473">
            <v>0</v>
          </cell>
        </row>
        <row r="474">
          <cell r="A474" t="str">
            <v>R</v>
          </cell>
          <cell r="B474">
            <v>460003</v>
          </cell>
          <cell r="C474" t="str">
            <v>Sopravvenienze attive</v>
          </cell>
          <cell r="D474">
            <v>0</v>
          </cell>
          <cell r="E474">
            <v>0</v>
          </cell>
        </row>
        <row r="475">
          <cell r="A475" t="str">
            <v>R</v>
          </cell>
          <cell r="B475">
            <v>460004</v>
          </cell>
          <cell r="C475" t="str">
            <v>Plusvalenze di cessione</v>
          </cell>
          <cell r="D475">
            <v>0</v>
          </cell>
          <cell r="E475">
            <v>0</v>
          </cell>
        </row>
        <row r="476">
          <cell r="A476" t="str">
            <v>R</v>
          </cell>
          <cell r="B476">
            <v>460005</v>
          </cell>
          <cell r="C476" t="str">
            <v>Plusvalenze tassabili</v>
          </cell>
          <cell r="D476">
            <v>0</v>
          </cell>
          <cell r="E476">
            <v>0</v>
          </cell>
        </row>
        <row r="477">
          <cell r="B477">
            <v>47</v>
          </cell>
          <cell r="C477" t="str">
            <v>RIVALUTAZIONI</v>
          </cell>
          <cell r="D477">
            <v>0</v>
          </cell>
          <cell r="E477">
            <v>0</v>
          </cell>
        </row>
        <row r="478">
          <cell r="B478">
            <v>470001</v>
          </cell>
          <cell r="C478" t="str">
            <v>Rivalutazioni</v>
          </cell>
          <cell r="D478">
            <v>0</v>
          </cell>
          <cell r="E478">
            <v>0</v>
          </cell>
        </row>
        <row r="479">
          <cell r="A479" t="str">
            <v>R</v>
          </cell>
          <cell r="B479">
            <v>48</v>
          </cell>
          <cell r="C479" t="str">
            <v>RIMANENZE FINALI ATTIVE</v>
          </cell>
          <cell r="D479">
            <v>41012000</v>
          </cell>
          <cell r="E479">
            <v>63450000</v>
          </cell>
        </row>
        <row r="480">
          <cell r="A480" t="str">
            <v>R</v>
          </cell>
          <cell r="B480">
            <v>480001</v>
          </cell>
          <cell r="C480" t="str">
            <v>Materie prime</v>
          </cell>
          <cell r="D480">
            <v>0</v>
          </cell>
          <cell r="E480">
            <v>0</v>
          </cell>
        </row>
        <row r="481">
          <cell r="A481" t="str">
            <v>R</v>
          </cell>
          <cell r="B481">
            <v>480002</v>
          </cell>
          <cell r="C481" t="str">
            <v>Materie sussidiarie</v>
          </cell>
          <cell r="D481">
            <v>0</v>
          </cell>
          <cell r="E481">
            <v>0</v>
          </cell>
        </row>
        <row r="482">
          <cell r="A482" t="str">
            <v>R</v>
          </cell>
          <cell r="B482">
            <v>480003</v>
          </cell>
          <cell r="C482" t="str">
            <v>Prodotti finiti</v>
          </cell>
          <cell r="D482">
            <v>0</v>
          </cell>
          <cell r="E482">
            <v>0</v>
          </cell>
        </row>
        <row r="483">
          <cell r="A483" t="str">
            <v>R</v>
          </cell>
          <cell r="B483">
            <v>480004</v>
          </cell>
          <cell r="C483" t="str">
            <v>Prodotti in lavoraz.</v>
          </cell>
          <cell r="D483">
            <v>0</v>
          </cell>
          <cell r="E483">
            <v>0</v>
          </cell>
        </row>
        <row r="484">
          <cell r="A484" t="str">
            <v>R</v>
          </cell>
          <cell r="B484">
            <v>480005</v>
          </cell>
          <cell r="C484" t="str">
            <v>Merci</v>
          </cell>
          <cell r="D484">
            <v>38025000</v>
          </cell>
          <cell r="E484">
            <v>63450000</v>
          </cell>
        </row>
        <row r="485">
          <cell r="A485" t="str">
            <v>R</v>
          </cell>
          <cell r="B485">
            <v>480006</v>
          </cell>
          <cell r="C485" t="str">
            <v>Imballaggi</v>
          </cell>
          <cell r="D485">
            <v>2987000</v>
          </cell>
          <cell r="E485">
            <v>0</v>
          </cell>
        </row>
        <row r="486">
          <cell r="A486" t="str">
            <v>R</v>
          </cell>
          <cell r="B486">
            <v>480007</v>
          </cell>
          <cell r="C486" t="str">
            <v>Materiali di consumo</v>
          </cell>
          <cell r="D486">
            <v>0</v>
          </cell>
          <cell r="E486">
            <v>0</v>
          </cell>
        </row>
        <row r="487">
          <cell r="A487" t="str">
            <v>R</v>
          </cell>
          <cell r="B487">
            <v>480008</v>
          </cell>
          <cell r="C487" t="str">
            <v>Lavori in esecuzione</v>
          </cell>
          <cell r="D487">
            <v>0</v>
          </cell>
          <cell r="E487">
            <v>0</v>
          </cell>
        </row>
        <row r="488">
          <cell r="A488" t="str">
            <v>R</v>
          </cell>
          <cell r="B488">
            <v>480009</v>
          </cell>
          <cell r="C488" t="str">
            <v>Risconti attivi</v>
          </cell>
          <cell r="D488">
            <v>0</v>
          </cell>
          <cell r="E488">
            <v>0</v>
          </cell>
        </row>
        <row r="489">
          <cell r="A489" t="str">
            <v>R</v>
          </cell>
          <cell r="B489">
            <v>480010</v>
          </cell>
          <cell r="C489" t="str">
            <v>Prodotti sussidiari</v>
          </cell>
          <cell r="D489">
            <v>0</v>
          </cell>
          <cell r="E489">
            <v>0</v>
          </cell>
        </row>
        <row r="490">
          <cell r="A490" t="str">
            <v>R</v>
          </cell>
          <cell r="B490">
            <v>49</v>
          </cell>
          <cell r="C490" t="str">
            <v>ARROTOND.TI FATTURE</v>
          </cell>
          <cell r="D490">
            <v>0</v>
          </cell>
          <cell r="E490">
            <v>1586</v>
          </cell>
        </row>
        <row r="491">
          <cell r="A491" t="str">
            <v>R</v>
          </cell>
          <cell r="B491">
            <v>490001</v>
          </cell>
          <cell r="C491" t="str">
            <v>Arrotond.ti positivi</v>
          </cell>
          <cell r="D491">
            <v>0</v>
          </cell>
          <cell r="E491">
            <v>1586</v>
          </cell>
        </row>
        <row r="492">
          <cell r="A492" t="str">
            <v>R</v>
          </cell>
          <cell r="B492">
            <v>50</v>
          </cell>
          <cell r="C492" t="str">
            <v>ARROTOND.TI IVA</v>
          </cell>
          <cell r="D492">
            <v>0</v>
          </cell>
          <cell r="E492">
            <v>0</v>
          </cell>
        </row>
        <row r="493">
          <cell r="A493" t="str">
            <v>R</v>
          </cell>
          <cell r="B493">
            <v>500001</v>
          </cell>
          <cell r="C493" t="str">
            <v>Arrot.ti pos. versam. IVA</v>
          </cell>
          <cell r="D493">
            <v>0</v>
          </cell>
          <cell r="E493">
            <v>0</v>
          </cell>
        </row>
        <row r="494">
          <cell r="A494" t="str">
            <v>R</v>
          </cell>
          <cell r="B494">
            <v>500002</v>
          </cell>
          <cell r="C494" t="str">
            <v>Arrot.ti pos. annuali IVA</v>
          </cell>
          <cell r="D494">
            <v>0</v>
          </cell>
          <cell r="E494">
            <v>0</v>
          </cell>
        </row>
        <row r="495">
          <cell r="A495" t="str">
            <v>R</v>
          </cell>
          <cell r="B495">
            <v>51</v>
          </cell>
          <cell r="C495" t="str">
            <v>RETTIFICHE FISCALI</v>
          </cell>
          <cell r="D495">
            <v>0</v>
          </cell>
          <cell r="E495">
            <v>0</v>
          </cell>
        </row>
        <row r="496">
          <cell r="B496">
            <v>510001</v>
          </cell>
          <cell r="C496" t="str">
            <v>Ripresa ammort. civil.indetr.</v>
          </cell>
          <cell r="D496">
            <v>0</v>
          </cell>
          <cell r="E496">
            <v>0</v>
          </cell>
        </row>
        <row r="497">
          <cell r="C497" t="str">
            <v>TOTALE RICAVI</v>
          </cell>
          <cell r="D497">
            <v>150471017</v>
          </cell>
          <cell r="E497">
            <v>176565685</v>
          </cell>
        </row>
        <row r="498">
          <cell r="C498" t="str">
            <v/>
          </cell>
          <cell r="D498">
            <v>0</v>
          </cell>
          <cell r="E498">
            <v>0</v>
          </cell>
        </row>
        <row r="499">
          <cell r="C499" t="str">
            <v>TOTALE A PAREGGIO</v>
          </cell>
          <cell r="D499">
            <v>150471017</v>
          </cell>
          <cell r="E499">
            <v>176565685</v>
          </cell>
        </row>
      </sheetData>
      <sheetData sheetId="4"/>
      <sheetData sheetId="5"/>
      <sheetData sheetId="6"/>
      <sheetData sheetId="7">
        <row r="1">
          <cell r="P1" t="str">
            <v>Registrazione16 (C)</v>
          </cell>
        </row>
      </sheetData>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omments" Target="../comments1.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4.vml"/><Relationship Id="rId7" Type="http://schemas.openxmlformats.org/officeDocument/2006/relationships/ctrlProp" Target="../ctrlProps/ctrlProp2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52.xml"/><Relationship Id="rId117" Type="http://schemas.openxmlformats.org/officeDocument/2006/relationships/ctrlProp" Target="../ctrlProps/ctrlProp143.xml"/><Relationship Id="rId21" Type="http://schemas.openxmlformats.org/officeDocument/2006/relationships/ctrlProp" Target="../ctrlProps/ctrlProp47.xml"/><Relationship Id="rId42" Type="http://schemas.openxmlformats.org/officeDocument/2006/relationships/ctrlProp" Target="../ctrlProps/ctrlProp68.xml"/><Relationship Id="rId47" Type="http://schemas.openxmlformats.org/officeDocument/2006/relationships/ctrlProp" Target="../ctrlProps/ctrlProp73.xml"/><Relationship Id="rId63" Type="http://schemas.openxmlformats.org/officeDocument/2006/relationships/ctrlProp" Target="../ctrlProps/ctrlProp89.xml"/><Relationship Id="rId68" Type="http://schemas.openxmlformats.org/officeDocument/2006/relationships/ctrlProp" Target="../ctrlProps/ctrlProp94.xml"/><Relationship Id="rId84" Type="http://schemas.openxmlformats.org/officeDocument/2006/relationships/ctrlProp" Target="../ctrlProps/ctrlProp110.xml"/><Relationship Id="rId89" Type="http://schemas.openxmlformats.org/officeDocument/2006/relationships/ctrlProp" Target="../ctrlProps/ctrlProp115.xml"/><Relationship Id="rId112" Type="http://schemas.openxmlformats.org/officeDocument/2006/relationships/ctrlProp" Target="../ctrlProps/ctrlProp138.xml"/><Relationship Id="rId133" Type="http://schemas.openxmlformats.org/officeDocument/2006/relationships/ctrlProp" Target="../ctrlProps/ctrlProp159.xml"/><Relationship Id="rId16" Type="http://schemas.openxmlformats.org/officeDocument/2006/relationships/ctrlProp" Target="../ctrlProps/ctrlProp42.xml"/><Relationship Id="rId107" Type="http://schemas.openxmlformats.org/officeDocument/2006/relationships/ctrlProp" Target="../ctrlProps/ctrlProp133.xml"/><Relationship Id="rId11" Type="http://schemas.openxmlformats.org/officeDocument/2006/relationships/ctrlProp" Target="../ctrlProps/ctrlProp37.xml"/><Relationship Id="rId32" Type="http://schemas.openxmlformats.org/officeDocument/2006/relationships/ctrlProp" Target="../ctrlProps/ctrlProp58.xml"/><Relationship Id="rId37" Type="http://schemas.openxmlformats.org/officeDocument/2006/relationships/ctrlProp" Target="../ctrlProps/ctrlProp63.xml"/><Relationship Id="rId53" Type="http://schemas.openxmlformats.org/officeDocument/2006/relationships/ctrlProp" Target="../ctrlProps/ctrlProp79.xml"/><Relationship Id="rId58" Type="http://schemas.openxmlformats.org/officeDocument/2006/relationships/ctrlProp" Target="../ctrlProps/ctrlProp84.xml"/><Relationship Id="rId74" Type="http://schemas.openxmlformats.org/officeDocument/2006/relationships/ctrlProp" Target="../ctrlProps/ctrlProp100.xml"/><Relationship Id="rId79" Type="http://schemas.openxmlformats.org/officeDocument/2006/relationships/ctrlProp" Target="../ctrlProps/ctrlProp105.xml"/><Relationship Id="rId102" Type="http://schemas.openxmlformats.org/officeDocument/2006/relationships/ctrlProp" Target="../ctrlProps/ctrlProp128.xml"/><Relationship Id="rId123" Type="http://schemas.openxmlformats.org/officeDocument/2006/relationships/ctrlProp" Target="../ctrlProps/ctrlProp149.xml"/><Relationship Id="rId128" Type="http://schemas.openxmlformats.org/officeDocument/2006/relationships/ctrlProp" Target="../ctrlProps/ctrlProp154.xml"/><Relationship Id="rId5" Type="http://schemas.openxmlformats.org/officeDocument/2006/relationships/ctrlProp" Target="../ctrlProps/ctrlProp31.xml"/><Relationship Id="rId90" Type="http://schemas.openxmlformats.org/officeDocument/2006/relationships/ctrlProp" Target="../ctrlProps/ctrlProp116.xml"/><Relationship Id="rId95" Type="http://schemas.openxmlformats.org/officeDocument/2006/relationships/ctrlProp" Target="../ctrlProps/ctrlProp121.xml"/><Relationship Id="rId14" Type="http://schemas.openxmlformats.org/officeDocument/2006/relationships/ctrlProp" Target="../ctrlProps/ctrlProp40.xml"/><Relationship Id="rId22" Type="http://schemas.openxmlformats.org/officeDocument/2006/relationships/ctrlProp" Target="../ctrlProps/ctrlProp48.xml"/><Relationship Id="rId27" Type="http://schemas.openxmlformats.org/officeDocument/2006/relationships/ctrlProp" Target="../ctrlProps/ctrlProp53.xml"/><Relationship Id="rId30" Type="http://schemas.openxmlformats.org/officeDocument/2006/relationships/ctrlProp" Target="../ctrlProps/ctrlProp56.xml"/><Relationship Id="rId35" Type="http://schemas.openxmlformats.org/officeDocument/2006/relationships/ctrlProp" Target="../ctrlProps/ctrlProp61.xml"/><Relationship Id="rId43" Type="http://schemas.openxmlformats.org/officeDocument/2006/relationships/ctrlProp" Target="../ctrlProps/ctrlProp69.xml"/><Relationship Id="rId48" Type="http://schemas.openxmlformats.org/officeDocument/2006/relationships/ctrlProp" Target="../ctrlProps/ctrlProp74.xml"/><Relationship Id="rId56" Type="http://schemas.openxmlformats.org/officeDocument/2006/relationships/ctrlProp" Target="../ctrlProps/ctrlProp82.xml"/><Relationship Id="rId64" Type="http://schemas.openxmlformats.org/officeDocument/2006/relationships/ctrlProp" Target="../ctrlProps/ctrlProp90.xml"/><Relationship Id="rId69" Type="http://schemas.openxmlformats.org/officeDocument/2006/relationships/ctrlProp" Target="../ctrlProps/ctrlProp95.xml"/><Relationship Id="rId77" Type="http://schemas.openxmlformats.org/officeDocument/2006/relationships/ctrlProp" Target="../ctrlProps/ctrlProp103.xml"/><Relationship Id="rId100" Type="http://schemas.openxmlformats.org/officeDocument/2006/relationships/ctrlProp" Target="../ctrlProps/ctrlProp126.xml"/><Relationship Id="rId105" Type="http://schemas.openxmlformats.org/officeDocument/2006/relationships/ctrlProp" Target="../ctrlProps/ctrlProp131.xml"/><Relationship Id="rId113" Type="http://schemas.openxmlformats.org/officeDocument/2006/relationships/ctrlProp" Target="../ctrlProps/ctrlProp139.xml"/><Relationship Id="rId118" Type="http://schemas.openxmlformats.org/officeDocument/2006/relationships/ctrlProp" Target="../ctrlProps/ctrlProp144.xml"/><Relationship Id="rId126" Type="http://schemas.openxmlformats.org/officeDocument/2006/relationships/ctrlProp" Target="../ctrlProps/ctrlProp152.xml"/><Relationship Id="rId134" Type="http://schemas.openxmlformats.org/officeDocument/2006/relationships/ctrlProp" Target="../ctrlProps/ctrlProp160.xml"/><Relationship Id="rId8" Type="http://schemas.openxmlformats.org/officeDocument/2006/relationships/ctrlProp" Target="../ctrlProps/ctrlProp34.xml"/><Relationship Id="rId51" Type="http://schemas.openxmlformats.org/officeDocument/2006/relationships/ctrlProp" Target="../ctrlProps/ctrlProp77.xml"/><Relationship Id="rId72" Type="http://schemas.openxmlformats.org/officeDocument/2006/relationships/ctrlProp" Target="../ctrlProps/ctrlProp98.xml"/><Relationship Id="rId80" Type="http://schemas.openxmlformats.org/officeDocument/2006/relationships/ctrlProp" Target="../ctrlProps/ctrlProp106.xml"/><Relationship Id="rId85" Type="http://schemas.openxmlformats.org/officeDocument/2006/relationships/ctrlProp" Target="../ctrlProps/ctrlProp111.xml"/><Relationship Id="rId93" Type="http://schemas.openxmlformats.org/officeDocument/2006/relationships/ctrlProp" Target="../ctrlProps/ctrlProp119.xml"/><Relationship Id="rId98" Type="http://schemas.openxmlformats.org/officeDocument/2006/relationships/ctrlProp" Target="../ctrlProps/ctrlProp124.xml"/><Relationship Id="rId121" Type="http://schemas.openxmlformats.org/officeDocument/2006/relationships/ctrlProp" Target="../ctrlProps/ctrlProp147.xml"/><Relationship Id="rId3" Type="http://schemas.openxmlformats.org/officeDocument/2006/relationships/vmlDrawing" Target="../drawings/vmlDrawing5.vml"/><Relationship Id="rId12" Type="http://schemas.openxmlformats.org/officeDocument/2006/relationships/ctrlProp" Target="../ctrlProps/ctrlProp38.xml"/><Relationship Id="rId17" Type="http://schemas.openxmlformats.org/officeDocument/2006/relationships/ctrlProp" Target="../ctrlProps/ctrlProp43.xml"/><Relationship Id="rId25" Type="http://schemas.openxmlformats.org/officeDocument/2006/relationships/ctrlProp" Target="../ctrlProps/ctrlProp51.xml"/><Relationship Id="rId33" Type="http://schemas.openxmlformats.org/officeDocument/2006/relationships/ctrlProp" Target="../ctrlProps/ctrlProp59.xml"/><Relationship Id="rId38" Type="http://schemas.openxmlformats.org/officeDocument/2006/relationships/ctrlProp" Target="../ctrlProps/ctrlProp64.xml"/><Relationship Id="rId46" Type="http://schemas.openxmlformats.org/officeDocument/2006/relationships/ctrlProp" Target="../ctrlProps/ctrlProp72.xml"/><Relationship Id="rId59" Type="http://schemas.openxmlformats.org/officeDocument/2006/relationships/ctrlProp" Target="../ctrlProps/ctrlProp85.xml"/><Relationship Id="rId67" Type="http://schemas.openxmlformats.org/officeDocument/2006/relationships/ctrlProp" Target="../ctrlProps/ctrlProp93.xml"/><Relationship Id="rId103" Type="http://schemas.openxmlformats.org/officeDocument/2006/relationships/ctrlProp" Target="../ctrlProps/ctrlProp129.xml"/><Relationship Id="rId108" Type="http://schemas.openxmlformats.org/officeDocument/2006/relationships/ctrlProp" Target="../ctrlProps/ctrlProp134.xml"/><Relationship Id="rId116" Type="http://schemas.openxmlformats.org/officeDocument/2006/relationships/ctrlProp" Target="../ctrlProps/ctrlProp142.xml"/><Relationship Id="rId124" Type="http://schemas.openxmlformats.org/officeDocument/2006/relationships/ctrlProp" Target="../ctrlProps/ctrlProp150.xml"/><Relationship Id="rId129" Type="http://schemas.openxmlformats.org/officeDocument/2006/relationships/ctrlProp" Target="../ctrlProps/ctrlProp155.xml"/><Relationship Id="rId20" Type="http://schemas.openxmlformats.org/officeDocument/2006/relationships/ctrlProp" Target="../ctrlProps/ctrlProp46.xml"/><Relationship Id="rId41" Type="http://schemas.openxmlformats.org/officeDocument/2006/relationships/ctrlProp" Target="../ctrlProps/ctrlProp67.xml"/><Relationship Id="rId54" Type="http://schemas.openxmlformats.org/officeDocument/2006/relationships/ctrlProp" Target="../ctrlProps/ctrlProp80.xml"/><Relationship Id="rId62" Type="http://schemas.openxmlformats.org/officeDocument/2006/relationships/ctrlProp" Target="../ctrlProps/ctrlProp88.xml"/><Relationship Id="rId70" Type="http://schemas.openxmlformats.org/officeDocument/2006/relationships/ctrlProp" Target="../ctrlProps/ctrlProp96.xml"/><Relationship Id="rId75" Type="http://schemas.openxmlformats.org/officeDocument/2006/relationships/ctrlProp" Target="../ctrlProps/ctrlProp101.xml"/><Relationship Id="rId83" Type="http://schemas.openxmlformats.org/officeDocument/2006/relationships/ctrlProp" Target="../ctrlProps/ctrlProp109.xml"/><Relationship Id="rId88" Type="http://schemas.openxmlformats.org/officeDocument/2006/relationships/ctrlProp" Target="../ctrlProps/ctrlProp114.xml"/><Relationship Id="rId91" Type="http://schemas.openxmlformats.org/officeDocument/2006/relationships/ctrlProp" Target="../ctrlProps/ctrlProp117.xml"/><Relationship Id="rId96" Type="http://schemas.openxmlformats.org/officeDocument/2006/relationships/ctrlProp" Target="../ctrlProps/ctrlProp122.xml"/><Relationship Id="rId111" Type="http://schemas.openxmlformats.org/officeDocument/2006/relationships/ctrlProp" Target="../ctrlProps/ctrlProp137.xml"/><Relationship Id="rId132" Type="http://schemas.openxmlformats.org/officeDocument/2006/relationships/ctrlProp" Target="../ctrlProps/ctrlProp158.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15" Type="http://schemas.openxmlformats.org/officeDocument/2006/relationships/ctrlProp" Target="../ctrlProps/ctrlProp41.xml"/><Relationship Id="rId23" Type="http://schemas.openxmlformats.org/officeDocument/2006/relationships/ctrlProp" Target="../ctrlProps/ctrlProp49.xml"/><Relationship Id="rId28" Type="http://schemas.openxmlformats.org/officeDocument/2006/relationships/ctrlProp" Target="../ctrlProps/ctrlProp54.xml"/><Relationship Id="rId36" Type="http://schemas.openxmlformats.org/officeDocument/2006/relationships/ctrlProp" Target="../ctrlProps/ctrlProp62.xml"/><Relationship Id="rId49" Type="http://schemas.openxmlformats.org/officeDocument/2006/relationships/ctrlProp" Target="../ctrlProps/ctrlProp75.xml"/><Relationship Id="rId57" Type="http://schemas.openxmlformats.org/officeDocument/2006/relationships/ctrlProp" Target="../ctrlProps/ctrlProp83.xml"/><Relationship Id="rId106" Type="http://schemas.openxmlformats.org/officeDocument/2006/relationships/ctrlProp" Target="../ctrlProps/ctrlProp132.xml"/><Relationship Id="rId114" Type="http://schemas.openxmlformats.org/officeDocument/2006/relationships/ctrlProp" Target="../ctrlProps/ctrlProp140.xml"/><Relationship Id="rId119" Type="http://schemas.openxmlformats.org/officeDocument/2006/relationships/ctrlProp" Target="../ctrlProps/ctrlProp145.xml"/><Relationship Id="rId127" Type="http://schemas.openxmlformats.org/officeDocument/2006/relationships/ctrlProp" Target="../ctrlProps/ctrlProp153.xml"/><Relationship Id="rId10" Type="http://schemas.openxmlformats.org/officeDocument/2006/relationships/ctrlProp" Target="../ctrlProps/ctrlProp36.xml"/><Relationship Id="rId31" Type="http://schemas.openxmlformats.org/officeDocument/2006/relationships/ctrlProp" Target="../ctrlProps/ctrlProp57.xml"/><Relationship Id="rId44" Type="http://schemas.openxmlformats.org/officeDocument/2006/relationships/ctrlProp" Target="../ctrlProps/ctrlProp70.xml"/><Relationship Id="rId52" Type="http://schemas.openxmlformats.org/officeDocument/2006/relationships/ctrlProp" Target="../ctrlProps/ctrlProp78.xml"/><Relationship Id="rId60" Type="http://schemas.openxmlformats.org/officeDocument/2006/relationships/ctrlProp" Target="../ctrlProps/ctrlProp86.xml"/><Relationship Id="rId65" Type="http://schemas.openxmlformats.org/officeDocument/2006/relationships/ctrlProp" Target="../ctrlProps/ctrlProp91.xml"/><Relationship Id="rId73" Type="http://schemas.openxmlformats.org/officeDocument/2006/relationships/ctrlProp" Target="../ctrlProps/ctrlProp99.xml"/><Relationship Id="rId78" Type="http://schemas.openxmlformats.org/officeDocument/2006/relationships/ctrlProp" Target="../ctrlProps/ctrlProp104.xml"/><Relationship Id="rId81" Type="http://schemas.openxmlformats.org/officeDocument/2006/relationships/ctrlProp" Target="../ctrlProps/ctrlProp107.xml"/><Relationship Id="rId86" Type="http://schemas.openxmlformats.org/officeDocument/2006/relationships/ctrlProp" Target="../ctrlProps/ctrlProp112.xml"/><Relationship Id="rId94" Type="http://schemas.openxmlformats.org/officeDocument/2006/relationships/ctrlProp" Target="../ctrlProps/ctrlProp120.xml"/><Relationship Id="rId99" Type="http://schemas.openxmlformats.org/officeDocument/2006/relationships/ctrlProp" Target="../ctrlProps/ctrlProp125.xml"/><Relationship Id="rId101" Type="http://schemas.openxmlformats.org/officeDocument/2006/relationships/ctrlProp" Target="../ctrlProps/ctrlProp127.xml"/><Relationship Id="rId122" Type="http://schemas.openxmlformats.org/officeDocument/2006/relationships/ctrlProp" Target="../ctrlProps/ctrlProp148.xml"/><Relationship Id="rId130" Type="http://schemas.openxmlformats.org/officeDocument/2006/relationships/ctrlProp" Target="../ctrlProps/ctrlProp156.xml"/><Relationship Id="rId4" Type="http://schemas.openxmlformats.org/officeDocument/2006/relationships/ctrlProp" Target="../ctrlProps/ctrlProp30.xml"/><Relationship Id="rId9" Type="http://schemas.openxmlformats.org/officeDocument/2006/relationships/ctrlProp" Target="../ctrlProps/ctrlProp35.xml"/><Relationship Id="rId13" Type="http://schemas.openxmlformats.org/officeDocument/2006/relationships/ctrlProp" Target="../ctrlProps/ctrlProp39.xml"/><Relationship Id="rId18" Type="http://schemas.openxmlformats.org/officeDocument/2006/relationships/ctrlProp" Target="../ctrlProps/ctrlProp44.xml"/><Relationship Id="rId39" Type="http://schemas.openxmlformats.org/officeDocument/2006/relationships/ctrlProp" Target="../ctrlProps/ctrlProp65.xml"/><Relationship Id="rId109" Type="http://schemas.openxmlformats.org/officeDocument/2006/relationships/ctrlProp" Target="../ctrlProps/ctrlProp135.xml"/><Relationship Id="rId34" Type="http://schemas.openxmlformats.org/officeDocument/2006/relationships/ctrlProp" Target="../ctrlProps/ctrlProp60.xml"/><Relationship Id="rId50" Type="http://schemas.openxmlformats.org/officeDocument/2006/relationships/ctrlProp" Target="../ctrlProps/ctrlProp76.xml"/><Relationship Id="rId55" Type="http://schemas.openxmlformats.org/officeDocument/2006/relationships/ctrlProp" Target="../ctrlProps/ctrlProp81.xml"/><Relationship Id="rId76" Type="http://schemas.openxmlformats.org/officeDocument/2006/relationships/ctrlProp" Target="../ctrlProps/ctrlProp102.xml"/><Relationship Id="rId97" Type="http://schemas.openxmlformats.org/officeDocument/2006/relationships/ctrlProp" Target="../ctrlProps/ctrlProp123.xml"/><Relationship Id="rId104" Type="http://schemas.openxmlformats.org/officeDocument/2006/relationships/ctrlProp" Target="../ctrlProps/ctrlProp130.xml"/><Relationship Id="rId120" Type="http://schemas.openxmlformats.org/officeDocument/2006/relationships/ctrlProp" Target="../ctrlProps/ctrlProp146.xml"/><Relationship Id="rId125" Type="http://schemas.openxmlformats.org/officeDocument/2006/relationships/ctrlProp" Target="../ctrlProps/ctrlProp151.xml"/><Relationship Id="rId7" Type="http://schemas.openxmlformats.org/officeDocument/2006/relationships/ctrlProp" Target="../ctrlProps/ctrlProp33.xml"/><Relationship Id="rId71" Type="http://schemas.openxmlformats.org/officeDocument/2006/relationships/ctrlProp" Target="../ctrlProps/ctrlProp97.xml"/><Relationship Id="rId92" Type="http://schemas.openxmlformats.org/officeDocument/2006/relationships/ctrlProp" Target="../ctrlProps/ctrlProp118.xml"/><Relationship Id="rId2" Type="http://schemas.openxmlformats.org/officeDocument/2006/relationships/drawing" Target="../drawings/drawing5.xml"/><Relationship Id="rId29" Type="http://schemas.openxmlformats.org/officeDocument/2006/relationships/ctrlProp" Target="../ctrlProps/ctrlProp55.xml"/><Relationship Id="rId24" Type="http://schemas.openxmlformats.org/officeDocument/2006/relationships/ctrlProp" Target="../ctrlProps/ctrlProp50.xml"/><Relationship Id="rId40" Type="http://schemas.openxmlformats.org/officeDocument/2006/relationships/ctrlProp" Target="../ctrlProps/ctrlProp66.xml"/><Relationship Id="rId45" Type="http://schemas.openxmlformats.org/officeDocument/2006/relationships/ctrlProp" Target="../ctrlProps/ctrlProp71.xml"/><Relationship Id="rId66" Type="http://schemas.openxmlformats.org/officeDocument/2006/relationships/ctrlProp" Target="../ctrlProps/ctrlProp92.xml"/><Relationship Id="rId87" Type="http://schemas.openxmlformats.org/officeDocument/2006/relationships/ctrlProp" Target="../ctrlProps/ctrlProp113.xml"/><Relationship Id="rId110" Type="http://schemas.openxmlformats.org/officeDocument/2006/relationships/ctrlProp" Target="../ctrlProps/ctrlProp136.xml"/><Relationship Id="rId115" Type="http://schemas.openxmlformats.org/officeDocument/2006/relationships/ctrlProp" Target="../ctrlProps/ctrlProp141.xml"/><Relationship Id="rId131" Type="http://schemas.openxmlformats.org/officeDocument/2006/relationships/ctrlProp" Target="../ctrlProps/ctrlProp157.xml"/><Relationship Id="rId61" Type="http://schemas.openxmlformats.org/officeDocument/2006/relationships/ctrlProp" Target="../ctrlProps/ctrlProp87.xml"/><Relationship Id="rId82" Type="http://schemas.openxmlformats.org/officeDocument/2006/relationships/ctrlProp" Target="../ctrlProps/ctrlProp108.xml"/><Relationship Id="rId19"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5.xml"/><Relationship Id="rId3" Type="http://schemas.openxmlformats.org/officeDocument/2006/relationships/vmlDrawing" Target="../drawings/vmlDrawing6.vml"/><Relationship Id="rId7" Type="http://schemas.openxmlformats.org/officeDocument/2006/relationships/ctrlProp" Target="../ctrlProps/ctrlProp16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63.xml"/><Relationship Id="rId5" Type="http://schemas.openxmlformats.org/officeDocument/2006/relationships/ctrlProp" Target="../ctrlProps/ctrlProp162.xml"/><Relationship Id="rId10" Type="http://schemas.openxmlformats.org/officeDocument/2006/relationships/ctrlProp" Target="../ctrlProps/ctrlProp167.xml"/><Relationship Id="rId4" Type="http://schemas.openxmlformats.org/officeDocument/2006/relationships/ctrlProp" Target="../ctrlProps/ctrlProp161.xml"/><Relationship Id="rId9" Type="http://schemas.openxmlformats.org/officeDocument/2006/relationships/ctrlProp" Target="../ctrlProps/ctrlProp16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69.xml"/><Relationship Id="rId4" Type="http://schemas.openxmlformats.org/officeDocument/2006/relationships/ctrlProp" Target="../ctrlProps/ctrlProp16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7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7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D96CC-3340-4C8B-950E-914848209EB9}">
  <sheetPr codeName="Foglio1"/>
  <dimension ref="A1:H28"/>
  <sheetViews>
    <sheetView showGridLines="0" showRowColHeaders="0" tabSelected="1" workbookViewId="0">
      <selection activeCell="D8" sqref="D8"/>
    </sheetView>
  </sheetViews>
  <sheetFormatPr defaultRowHeight="14.4" x14ac:dyDescent="0.3"/>
  <cols>
    <col min="1" max="1" width="16.77734375" customWidth="1"/>
    <col min="3" max="3" width="24.5546875" customWidth="1"/>
    <col min="4" max="4" width="32" customWidth="1"/>
  </cols>
  <sheetData>
    <row r="1" spans="1:8" ht="15.6" x14ac:dyDescent="0.3">
      <c r="A1" s="1"/>
      <c r="B1" s="1"/>
      <c r="C1" s="1"/>
      <c r="D1" s="1"/>
      <c r="E1" s="1"/>
      <c r="F1" s="1"/>
      <c r="G1" s="1"/>
      <c r="H1" s="1"/>
    </row>
    <row r="2" spans="1:8" ht="15.6" x14ac:dyDescent="0.3">
      <c r="A2" s="1"/>
      <c r="B2" s="1"/>
      <c r="C2" s="1"/>
      <c r="D2" s="1"/>
      <c r="E2" s="1"/>
      <c r="F2" s="1"/>
      <c r="G2" s="1"/>
      <c r="H2" s="1"/>
    </row>
    <row r="3" spans="1:8" ht="15.6" x14ac:dyDescent="0.3">
      <c r="A3" s="1"/>
      <c r="B3" s="1"/>
      <c r="C3" s="1"/>
      <c r="D3" s="1"/>
      <c r="E3" s="1"/>
      <c r="F3" s="1"/>
      <c r="G3" s="1"/>
      <c r="H3" s="1"/>
    </row>
    <row r="4" spans="1:8" ht="15.6" x14ac:dyDescent="0.3">
      <c r="A4" s="1"/>
      <c r="B4" s="1"/>
      <c r="C4" s="1"/>
      <c r="D4" s="1"/>
      <c r="E4" s="1"/>
      <c r="F4" s="1"/>
      <c r="G4" s="1"/>
      <c r="H4" s="1"/>
    </row>
    <row r="5" spans="1:8" ht="15.6" x14ac:dyDescent="0.3">
      <c r="A5" s="1"/>
      <c r="B5" s="2" t="s">
        <v>129</v>
      </c>
      <c r="C5" s="2" t="s">
        <v>147</v>
      </c>
      <c r="D5" s="1"/>
      <c r="E5" s="1"/>
      <c r="F5" s="1"/>
      <c r="G5" s="1"/>
      <c r="H5" s="1"/>
    </row>
    <row r="6" spans="1:8" ht="15.6" x14ac:dyDescent="0.3">
      <c r="A6" s="1"/>
      <c r="B6" s="1"/>
      <c r="C6" s="1"/>
      <c r="D6" s="1"/>
      <c r="E6" s="1"/>
      <c r="F6" s="1"/>
      <c r="G6" s="1"/>
      <c r="H6" s="1"/>
    </row>
    <row r="7" spans="1:8" ht="15.6" x14ac:dyDescent="0.3">
      <c r="A7" s="1"/>
      <c r="B7" s="3"/>
      <c r="C7" s="4"/>
      <c r="D7" s="4"/>
      <c r="E7" s="5"/>
      <c r="F7" s="1"/>
      <c r="G7" s="1"/>
      <c r="H7" s="1"/>
    </row>
    <row r="8" spans="1:8" ht="15.6" x14ac:dyDescent="0.3">
      <c r="A8" s="1"/>
      <c r="B8" s="6"/>
      <c r="C8" s="18" t="s">
        <v>0</v>
      </c>
      <c r="D8" s="20"/>
      <c r="E8" s="7"/>
      <c r="F8" s="1"/>
      <c r="G8" s="1"/>
      <c r="H8" s="1"/>
    </row>
    <row r="9" spans="1:8" ht="15.6" hidden="1" x14ac:dyDescent="0.3">
      <c r="A9" s="1"/>
      <c r="B9" s="6"/>
      <c r="C9" s="18" t="s">
        <v>1</v>
      </c>
      <c r="D9" s="30">
        <v>2012</v>
      </c>
      <c r="E9" s="7"/>
      <c r="F9" s="1"/>
      <c r="G9" s="1"/>
      <c r="H9" s="1"/>
    </row>
    <row r="10" spans="1:8" ht="15.6" x14ac:dyDescent="0.3">
      <c r="A10" s="1"/>
      <c r="B10" s="6"/>
      <c r="C10" s="18" t="s">
        <v>91</v>
      </c>
      <c r="D10" s="20"/>
      <c r="E10" s="7"/>
      <c r="F10" s="1"/>
      <c r="G10" s="1"/>
      <c r="H10" s="1"/>
    </row>
    <row r="11" spans="1:8" ht="15.6" hidden="1" x14ac:dyDescent="0.3">
      <c r="A11" s="1"/>
      <c r="B11" s="6"/>
      <c r="C11" s="18" t="s">
        <v>69</v>
      </c>
      <c r="D11" s="20"/>
      <c r="E11" s="7"/>
      <c r="F11" s="1"/>
      <c r="G11" s="1"/>
      <c r="H11" s="1"/>
    </row>
    <row r="12" spans="1:8" ht="15.6" x14ac:dyDescent="0.3">
      <c r="A12" s="1"/>
      <c r="B12" s="8"/>
      <c r="C12" s="9"/>
      <c r="D12" s="9"/>
      <c r="E12" s="10"/>
      <c r="F12" s="1"/>
      <c r="G12" s="1"/>
      <c r="H12" s="1"/>
    </row>
    <row r="13" spans="1:8" ht="15.6" x14ac:dyDescent="0.3">
      <c r="A13" s="1"/>
      <c r="B13" s="1"/>
      <c r="C13" s="1"/>
      <c r="D13" s="1"/>
      <c r="E13" s="1"/>
      <c r="F13" s="1"/>
      <c r="G13" s="1"/>
      <c r="H13" s="1"/>
    </row>
    <row r="14" spans="1:8" ht="15.6" x14ac:dyDescent="0.3">
      <c r="A14" s="1"/>
      <c r="B14" s="1"/>
      <c r="C14" s="1"/>
      <c r="D14" s="1"/>
      <c r="E14" s="1"/>
      <c r="F14" s="1"/>
      <c r="G14" s="1"/>
      <c r="H14" s="1"/>
    </row>
    <row r="15" spans="1:8" ht="15.6" x14ac:dyDescent="0.3">
      <c r="A15" s="1"/>
      <c r="B15" s="1"/>
      <c r="C15" s="1"/>
      <c r="D15" s="1"/>
      <c r="E15" s="1"/>
      <c r="F15" s="1"/>
      <c r="G15" s="1"/>
      <c r="H15" s="1"/>
    </row>
    <row r="16" spans="1:8" ht="15.6" x14ac:dyDescent="0.3">
      <c r="A16" s="1"/>
      <c r="B16" s="1"/>
      <c r="C16" s="1"/>
      <c r="D16" s="1"/>
      <c r="E16" s="1"/>
      <c r="F16" s="1"/>
      <c r="G16" s="1"/>
      <c r="H16" s="1"/>
    </row>
    <row r="17" spans="1:8" ht="15.6" x14ac:dyDescent="0.3">
      <c r="A17" s="1"/>
      <c r="B17" s="1"/>
      <c r="C17" s="1"/>
      <c r="D17" s="1"/>
      <c r="E17" s="1"/>
      <c r="F17" s="1"/>
      <c r="G17" s="1"/>
      <c r="H17" s="1"/>
    </row>
    <row r="18" spans="1:8" ht="15.6" x14ac:dyDescent="0.3">
      <c r="A18" s="1"/>
      <c r="B18" s="1"/>
      <c r="C18" s="1"/>
      <c r="D18" s="1"/>
      <c r="E18" s="1"/>
      <c r="F18" s="1"/>
      <c r="G18" s="1"/>
      <c r="H18" s="1"/>
    </row>
    <row r="19" spans="1:8" ht="15.6" x14ac:dyDescent="0.3">
      <c r="A19" s="1"/>
      <c r="B19" s="1"/>
      <c r="C19" s="1"/>
      <c r="D19" s="1"/>
      <c r="E19" s="1"/>
      <c r="F19" s="1"/>
      <c r="G19" s="1"/>
      <c r="H19" s="1"/>
    </row>
    <row r="20" spans="1:8" ht="15.6" x14ac:dyDescent="0.3">
      <c r="A20" s="1"/>
      <c r="B20" s="1"/>
      <c r="C20" s="1"/>
      <c r="D20" s="1"/>
      <c r="E20" s="1"/>
      <c r="F20" s="1"/>
      <c r="G20" s="1"/>
      <c r="H20" s="1"/>
    </row>
    <row r="21" spans="1:8" ht="15.6" x14ac:dyDescent="0.3">
      <c r="A21" s="1"/>
      <c r="B21" s="1"/>
      <c r="C21" s="1"/>
      <c r="D21" s="1"/>
      <c r="E21" s="1"/>
      <c r="F21" s="1"/>
      <c r="G21" s="1"/>
      <c r="H21" s="1"/>
    </row>
    <row r="22" spans="1:8" ht="15.6" x14ac:dyDescent="0.3">
      <c r="A22" s="1"/>
      <c r="B22" s="1"/>
      <c r="C22" s="1"/>
      <c r="D22" s="1"/>
      <c r="E22" s="1"/>
      <c r="F22" s="1"/>
      <c r="G22" s="1"/>
      <c r="H22" s="1"/>
    </row>
    <row r="23" spans="1:8" ht="15.6" x14ac:dyDescent="0.3">
      <c r="A23" s="1"/>
      <c r="B23" s="134" t="s">
        <v>2</v>
      </c>
      <c r="C23" s="134"/>
      <c r="D23" s="134"/>
      <c r="E23" s="134"/>
      <c r="F23" s="1"/>
      <c r="G23" s="1"/>
      <c r="H23" s="1"/>
    </row>
    <row r="24" spans="1:8" ht="15.6" x14ac:dyDescent="0.3">
      <c r="A24" s="1"/>
      <c r="B24" s="135" t="s">
        <v>150</v>
      </c>
      <c r="C24" s="135"/>
      <c r="D24" s="135"/>
      <c r="E24" s="135"/>
      <c r="F24" s="1"/>
      <c r="G24" s="1"/>
      <c r="H24" s="1"/>
    </row>
    <row r="25" spans="1:8" ht="9.75" customHeight="1" x14ac:dyDescent="0.3">
      <c r="A25" s="1"/>
      <c r="B25" s="1"/>
      <c r="C25" s="1"/>
      <c r="D25" s="1"/>
      <c r="E25" s="1"/>
      <c r="F25" s="1"/>
      <c r="G25" s="1"/>
      <c r="H25" s="1"/>
    </row>
    <row r="26" spans="1:8" ht="15.6" x14ac:dyDescent="0.3">
      <c r="A26" s="1"/>
      <c r="B26" s="1"/>
      <c r="C26" s="1"/>
      <c r="D26" s="1"/>
      <c r="E26" s="1"/>
      <c r="F26" s="1"/>
      <c r="G26" s="1"/>
      <c r="H26" s="1"/>
    </row>
    <row r="27" spans="1:8" ht="15.6" x14ac:dyDescent="0.3">
      <c r="A27" s="1"/>
      <c r="B27" s="1"/>
      <c r="C27" s="1"/>
      <c r="D27" s="1"/>
      <c r="E27" s="1"/>
      <c r="F27" s="1"/>
      <c r="G27" s="1"/>
      <c r="H27" s="1"/>
    </row>
    <row r="28" spans="1:8" x14ac:dyDescent="0.3">
      <c r="B28" s="134" t="s">
        <v>79</v>
      </c>
      <c r="C28" s="134"/>
      <c r="D28" s="134"/>
      <c r="E28" s="134"/>
    </row>
  </sheetData>
  <sheetProtection password="D08A" sheet="1"/>
  <mergeCells count="3">
    <mergeCell ref="B23:E23"/>
    <mergeCell ref="B24:E24"/>
    <mergeCell ref="B28:E28"/>
  </mergeCells>
  <dataValidations count="2">
    <dataValidation type="whole" operator="greaterThan" allowBlank="1" showInputMessage="1" showErrorMessage="1" errorTitle="Attenzione" error="Inserire un anno dal 2012 in poi" sqref="D9 D11" xr:uid="{78CD5C20-2318-45A8-9E2A-1EAE8853F351}">
      <formula1>2011</formula1>
    </dataValidation>
    <dataValidation operator="greaterThan" allowBlank="1" showInputMessage="1" showErrorMessage="1" sqref="D10" xr:uid="{8ED0B413-4640-43C4-B6AB-2A9FFACE7CB0}"/>
  </dataValidations>
  <printOptions horizontalCentered="1"/>
  <pageMargins left="0" right="0" top="0.74803149606299213" bottom="0.74803149606299213" header="0.31496062992125984" footer="0.31496062992125984"/>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Vai_terreni">
                <anchor moveWithCells="1" sizeWithCells="1">
                  <from>
                    <xdr:col>1</xdr:col>
                    <xdr:colOff>571500</xdr:colOff>
                    <xdr:row>13</xdr:row>
                    <xdr:rowOff>60960</xdr:rowOff>
                  </from>
                  <to>
                    <xdr:col>2</xdr:col>
                    <xdr:colOff>1059180</xdr:colOff>
                    <xdr:row>15</xdr:row>
                    <xdr:rowOff>60960</xdr:rowOff>
                  </to>
                </anchor>
              </controlPr>
            </control>
          </mc:Choice>
        </mc:AlternateContent>
        <mc:AlternateContent xmlns:mc="http://schemas.openxmlformats.org/markup-compatibility/2006">
          <mc:Choice Requires="x14">
            <control shapeId="1026" r:id="rId5" name="Button 2">
              <controlPr defaultSize="0" print="0" autoFill="0" autoLine="0" autoPict="0" macro="[0]!Vai_Rurali">
                <anchor moveWithCells="1" sizeWithCells="1">
                  <from>
                    <xdr:col>2</xdr:col>
                    <xdr:colOff>1440180</xdr:colOff>
                    <xdr:row>13</xdr:row>
                    <xdr:rowOff>60960</xdr:rowOff>
                  </from>
                  <to>
                    <xdr:col>3</xdr:col>
                    <xdr:colOff>853440</xdr:colOff>
                    <xdr:row>15</xdr:row>
                    <xdr:rowOff>60960</xdr:rowOff>
                  </to>
                </anchor>
              </controlPr>
            </control>
          </mc:Choice>
        </mc:AlternateContent>
        <mc:AlternateContent xmlns:mc="http://schemas.openxmlformats.org/markup-compatibility/2006">
          <mc:Choice Requires="x14">
            <control shapeId="1027" r:id="rId6" name="Button 3">
              <controlPr defaultSize="0" print="0" autoFill="0" autoLine="0" autoPict="0" macro="[0]!Vai_altri_fabb">
                <anchor moveWithCells="1" sizeWithCells="1">
                  <from>
                    <xdr:col>1</xdr:col>
                    <xdr:colOff>571500</xdr:colOff>
                    <xdr:row>16</xdr:row>
                    <xdr:rowOff>60960</xdr:rowOff>
                  </from>
                  <to>
                    <xdr:col>2</xdr:col>
                    <xdr:colOff>1059180</xdr:colOff>
                    <xdr:row>18</xdr:row>
                    <xdr:rowOff>60960</xdr:rowOff>
                  </to>
                </anchor>
              </controlPr>
            </control>
          </mc:Choice>
        </mc:AlternateContent>
        <mc:AlternateContent xmlns:mc="http://schemas.openxmlformats.org/markup-compatibility/2006">
          <mc:Choice Requires="x14">
            <control shapeId="1028" r:id="rId7" name="Button 4">
              <controlPr defaultSize="0" print="0" autoFill="0" autoLine="0" autoPict="0" macro="[0]!Vai_aree">
                <anchor moveWithCells="1" sizeWithCells="1">
                  <from>
                    <xdr:col>2</xdr:col>
                    <xdr:colOff>1440180</xdr:colOff>
                    <xdr:row>16</xdr:row>
                    <xdr:rowOff>60960</xdr:rowOff>
                  </from>
                  <to>
                    <xdr:col>3</xdr:col>
                    <xdr:colOff>853440</xdr:colOff>
                    <xdr:row>18</xdr:row>
                    <xdr:rowOff>60960</xdr:rowOff>
                  </to>
                </anchor>
              </controlPr>
            </control>
          </mc:Choice>
        </mc:AlternateContent>
        <mc:AlternateContent xmlns:mc="http://schemas.openxmlformats.org/markup-compatibility/2006">
          <mc:Choice Requires="x14">
            <control shapeId="1029" r:id="rId8" name="Button 5">
              <controlPr defaultSize="0" print="0" autoFill="0" autoLine="0" autoPict="0" macro="[0]!Vai_riepilogo">
                <anchor moveWithCells="1" sizeWithCells="1">
                  <from>
                    <xdr:col>3</xdr:col>
                    <xdr:colOff>1165860</xdr:colOff>
                    <xdr:row>16</xdr:row>
                    <xdr:rowOff>60960</xdr:rowOff>
                  </from>
                  <to>
                    <xdr:col>4</xdr:col>
                    <xdr:colOff>68580</xdr:colOff>
                    <xdr:row>18</xdr:row>
                    <xdr:rowOff>60960</xdr:rowOff>
                  </to>
                </anchor>
              </controlPr>
            </control>
          </mc:Choice>
        </mc:AlternateContent>
        <mc:AlternateContent xmlns:mc="http://schemas.openxmlformats.org/markup-compatibility/2006">
          <mc:Choice Requires="x14">
            <control shapeId="1030" r:id="rId9" name="Button 6">
              <controlPr defaultSize="0" print="0" autoFill="0" autoLine="0" autoPict="0" macro="[0]!Azzera_tutto">
                <anchor moveWithCells="1" sizeWithCells="1">
                  <from>
                    <xdr:col>1</xdr:col>
                    <xdr:colOff>586740</xdr:colOff>
                    <xdr:row>19</xdr:row>
                    <xdr:rowOff>38100</xdr:rowOff>
                  </from>
                  <to>
                    <xdr:col>2</xdr:col>
                    <xdr:colOff>1066800</xdr:colOff>
                    <xdr:row>21</xdr:row>
                    <xdr:rowOff>38100</xdr:rowOff>
                  </to>
                </anchor>
              </controlPr>
            </control>
          </mc:Choice>
        </mc:AlternateContent>
        <mc:AlternateContent xmlns:mc="http://schemas.openxmlformats.org/markup-compatibility/2006">
          <mc:Choice Requires="x14">
            <control shapeId="1031" r:id="rId10" name="Button 7">
              <controlPr defaultSize="0" print="0" autoFill="0" autoLine="0" autoPict="0" macro="[0]!Vai_istruzioni">
                <anchor moveWithCells="1" sizeWithCells="1">
                  <from>
                    <xdr:col>3</xdr:col>
                    <xdr:colOff>1188720</xdr:colOff>
                    <xdr:row>19</xdr:row>
                    <xdr:rowOff>38100</xdr:rowOff>
                  </from>
                  <to>
                    <xdr:col>4</xdr:col>
                    <xdr:colOff>91440</xdr:colOff>
                    <xdr:row>21</xdr:row>
                    <xdr:rowOff>38100</xdr:rowOff>
                  </to>
                </anchor>
              </controlPr>
            </control>
          </mc:Choice>
        </mc:AlternateContent>
        <mc:AlternateContent xmlns:mc="http://schemas.openxmlformats.org/markup-compatibility/2006">
          <mc:Choice Requires="x14">
            <control shapeId="1064" r:id="rId11" name="Button 40">
              <controlPr defaultSize="0" print="0" autoFill="0" autoLine="0" autoPict="0" macro="[0]!Vai_ab_princ">
                <anchor moveWithCells="1" sizeWithCells="1">
                  <from>
                    <xdr:col>3</xdr:col>
                    <xdr:colOff>1165860</xdr:colOff>
                    <xdr:row>13</xdr:row>
                    <xdr:rowOff>60960</xdr:rowOff>
                  </from>
                  <to>
                    <xdr:col>4</xdr:col>
                    <xdr:colOff>68580</xdr:colOff>
                    <xdr:row>15</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60063-DF09-4A7C-BBC7-9BE2A42253B0}">
  <sheetPr codeName="Foglio2"/>
  <dimension ref="A1:W66"/>
  <sheetViews>
    <sheetView showGridLines="0" showRowColHeaders="0" showZeros="0" workbookViewId="0">
      <pane ySplit="5" topLeftCell="A6" activePane="bottomLeft" state="frozen"/>
      <selection pane="bottomLeft" activeCell="B6" sqref="B6"/>
    </sheetView>
  </sheetViews>
  <sheetFormatPr defaultColWidth="9.21875" defaultRowHeight="13.2" x14ac:dyDescent="0.25"/>
  <cols>
    <col min="1" max="1" width="6.77734375" style="45" customWidth="1"/>
    <col min="2" max="2" width="25" style="45" customWidth="1"/>
    <col min="3" max="5" width="8.77734375" style="45" customWidth="1"/>
    <col min="6" max="6" width="11.77734375" style="45" customWidth="1"/>
    <col min="7" max="8" width="8.21875" style="45" customWidth="1"/>
    <col min="9" max="9" width="14.44140625" style="45" hidden="1" customWidth="1"/>
    <col min="10" max="11" width="15.77734375" style="45" hidden="1" customWidth="1"/>
    <col min="12" max="12" width="14.77734375" style="45" customWidth="1"/>
    <col min="13" max="13" width="12.77734375" style="45" customWidth="1"/>
    <col min="14" max="18" width="12.77734375" style="45" hidden="1" customWidth="1"/>
    <col min="19" max="20" width="12.77734375" style="45" customWidth="1"/>
    <col min="21" max="22" width="14.21875" style="45" hidden="1" customWidth="1"/>
    <col min="23" max="23" width="11.44140625" style="45" hidden="1" customWidth="1"/>
    <col min="24" max="16384" width="9.21875" style="45"/>
  </cols>
  <sheetData>
    <row r="1" spans="1:23" ht="39" customHeight="1" x14ac:dyDescent="0.25"/>
    <row r="2" spans="1:23" ht="30" customHeight="1" x14ac:dyDescent="0.25">
      <c r="A2" s="46" t="str">
        <f>CONCATENATE("TERRENI AGRICOLI", " - Contribuente: ", Home!D8)</f>
        <v xml:space="preserve">TERRENI AGRICOLI - Contribuente: </v>
      </c>
    </row>
    <row r="3" spans="1:23" ht="17.25" hidden="1" customHeight="1" x14ac:dyDescent="0.25">
      <c r="A3" s="47" t="s">
        <v>44</v>
      </c>
      <c r="B3" s="48"/>
      <c r="C3" s="49"/>
      <c r="D3" s="73"/>
      <c r="E3" s="131">
        <v>1</v>
      </c>
    </row>
    <row r="4" spans="1:23" ht="18" customHeight="1" x14ac:dyDescent="0.25">
      <c r="A4" s="51" t="s">
        <v>3</v>
      </c>
      <c r="B4" s="51" t="s">
        <v>78</v>
      </c>
      <c r="C4" s="104" t="s">
        <v>89</v>
      </c>
      <c r="D4" s="132" t="s">
        <v>88</v>
      </c>
      <c r="E4" s="133" t="s">
        <v>87</v>
      </c>
      <c r="F4" s="106" t="s">
        <v>4</v>
      </c>
      <c r="G4" s="51" t="s">
        <v>85</v>
      </c>
      <c r="H4" s="51" t="s">
        <v>85</v>
      </c>
      <c r="I4" s="52" t="s">
        <v>6</v>
      </c>
      <c r="J4" s="52" t="s">
        <v>56</v>
      </c>
      <c r="K4" s="52" t="s">
        <v>56</v>
      </c>
      <c r="L4" s="51" t="s">
        <v>17</v>
      </c>
      <c r="M4" s="51" t="s">
        <v>120</v>
      </c>
      <c r="N4" s="118" t="s">
        <v>45</v>
      </c>
      <c r="O4" s="118" t="s">
        <v>45</v>
      </c>
      <c r="P4" s="52" t="s">
        <v>81</v>
      </c>
      <c r="Q4" s="118" t="s">
        <v>47</v>
      </c>
      <c r="R4" s="118" t="s">
        <v>9</v>
      </c>
      <c r="S4" s="51" t="s">
        <v>9</v>
      </c>
      <c r="T4" s="51" t="s">
        <v>10</v>
      </c>
      <c r="U4" s="52" t="s">
        <v>71</v>
      </c>
      <c r="V4" s="52" t="s">
        <v>71</v>
      </c>
      <c r="W4" s="51" t="s">
        <v>111</v>
      </c>
    </row>
    <row r="5" spans="1:23" ht="18" customHeight="1" x14ac:dyDescent="0.25">
      <c r="A5" s="53"/>
      <c r="B5" s="53" t="s">
        <v>77</v>
      </c>
      <c r="C5" s="53" t="s">
        <v>87</v>
      </c>
      <c r="D5" s="53" t="s">
        <v>148</v>
      </c>
      <c r="E5" s="53" t="s">
        <v>149</v>
      </c>
      <c r="F5" s="53" t="s">
        <v>5</v>
      </c>
      <c r="G5" s="53" t="s">
        <v>126</v>
      </c>
      <c r="H5" s="53" t="s">
        <v>130</v>
      </c>
      <c r="I5" s="54" t="s">
        <v>7</v>
      </c>
      <c r="J5" s="54" t="s">
        <v>58</v>
      </c>
      <c r="K5" s="54" t="s">
        <v>57</v>
      </c>
      <c r="L5" s="53" t="s">
        <v>9</v>
      </c>
      <c r="M5" s="53" t="s">
        <v>98</v>
      </c>
      <c r="N5" s="119" t="s">
        <v>80</v>
      </c>
      <c r="O5" s="119" t="s">
        <v>75</v>
      </c>
      <c r="P5" s="54" t="s">
        <v>82</v>
      </c>
      <c r="Q5" s="119" t="s">
        <v>80</v>
      </c>
      <c r="R5" s="119">
        <v>2014</v>
      </c>
      <c r="S5" s="53" t="s">
        <v>125</v>
      </c>
      <c r="T5" s="53" t="s">
        <v>9</v>
      </c>
      <c r="U5" s="54" t="s">
        <v>72</v>
      </c>
      <c r="V5" s="54" t="s">
        <v>73</v>
      </c>
      <c r="W5" s="53" t="s">
        <v>110</v>
      </c>
    </row>
    <row r="6" spans="1:23" ht="18" customHeight="1" x14ac:dyDescent="0.25">
      <c r="A6" s="55">
        <v>1</v>
      </c>
      <c r="B6" s="50"/>
      <c r="C6" s="56"/>
      <c r="D6" s="57"/>
      <c r="E6" s="57"/>
      <c r="F6" s="58"/>
      <c r="G6" s="59"/>
      <c r="H6" s="59"/>
      <c r="I6" s="68">
        <f>IF($E$3=0,0,IF(F6&gt;0,IF($E$3=1,135,75),0))</f>
        <v>0</v>
      </c>
      <c r="J6" s="60">
        <f>ROUND(IF(F6=0,0,(F6*C6/100)*1.25*I6),2)</f>
        <v>0</v>
      </c>
      <c r="K6" s="60">
        <f>IF($E$3=2,'Riduzione terreni'!D13,0)</f>
        <v>0</v>
      </c>
      <c r="L6" s="61">
        <f>IF($E$3=1,J6,IF($E$3=2,K6,0))</f>
        <v>0</v>
      </c>
      <c r="M6" s="61">
        <f>ROUND((L6*(G6/100)*(D6/12)),2)</f>
        <v>0</v>
      </c>
      <c r="N6" s="60">
        <f t="shared" ref="N6:N12" si="0">IF(M6&gt;0,M6/2,0)</f>
        <v>0</v>
      </c>
      <c r="O6" s="60">
        <f t="shared" ref="O6:O12" si="1">M6-N6</f>
        <v>0</v>
      </c>
      <c r="P6" s="60">
        <f>ROUND(IF(L6&gt;0,(L6*(H6/100)*(E6/12)),0),2)</f>
        <v>0</v>
      </c>
      <c r="Q6" s="60">
        <f t="shared" ref="Q6:Q12" si="2">IF(P6&gt;N6,IF(P6-N6-O6-R6&gt;0,P6-N6-O6-R6,0),0)</f>
        <v>0</v>
      </c>
      <c r="R6" s="60">
        <f>ROUND(IF(L6&gt;0,(L6*(H6/100)*((D6+E6)/12)),0),2)</f>
        <v>0</v>
      </c>
      <c r="S6" s="61">
        <f>IF(R6&gt;M6,R6-M6,0)</f>
        <v>0</v>
      </c>
      <c r="T6" s="61">
        <f>M6+S6</f>
        <v>0</v>
      </c>
      <c r="U6" s="62">
        <f>IF(M6&gt;0,1,0)</f>
        <v>0</v>
      </c>
      <c r="V6" s="62">
        <f>IF(S6&gt;0,1,0)</f>
        <v>0</v>
      </c>
      <c r="W6" s="61">
        <f>IF(AND($E$3=2,H6&gt;0.76),T6-M37,0)</f>
        <v>0</v>
      </c>
    </row>
    <row r="7" spans="1:23" ht="18" customHeight="1" x14ac:dyDescent="0.25">
      <c r="A7" s="55">
        <v>2</v>
      </c>
      <c r="B7" s="50"/>
      <c r="C7" s="56"/>
      <c r="D7" s="57"/>
      <c r="E7" s="57"/>
      <c r="F7" s="58"/>
      <c r="G7" s="59"/>
      <c r="H7" s="59"/>
      <c r="I7" s="68">
        <f>IF($E$3=0,0,IF(F7&gt;0,IF($E$3=1,135,75),0))</f>
        <v>0</v>
      </c>
      <c r="J7" s="60">
        <f t="shared" ref="J7:J15" si="3">ROUND(IF(F7=0,0,(F7*C7/100)*1.25*I7),2)</f>
        <v>0</v>
      </c>
      <c r="K7" s="60">
        <f>IF($E$3=2,'Riduzione terreni'!D14,0)</f>
        <v>0</v>
      </c>
      <c r="L7" s="61">
        <f t="shared" ref="L7:L30" si="4">IF($E$3=1,J7,IF($E$3=2,K7,0))</f>
        <v>0</v>
      </c>
      <c r="M7" s="61">
        <f t="shared" ref="M7:M30" si="5">ROUND((L7*(G7/100)*(D7/12)),2)</f>
        <v>0</v>
      </c>
      <c r="N7" s="60">
        <f t="shared" si="0"/>
        <v>0</v>
      </c>
      <c r="O7" s="60">
        <f t="shared" si="1"/>
        <v>0</v>
      </c>
      <c r="P7" s="60">
        <f t="shared" ref="P7:P12" si="6">ROUND(IF(L7&gt;0,(L7*(H7/100)*(E7/12)),0),2)</f>
        <v>0</v>
      </c>
      <c r="Q7" s="60">
        <f t="shared" si="2"/>
        <v>0</v>
      </c>
      <c r="R7" s="60">
        <f t="shared" ref="R7:R30" si="7">ROUND(IF(L7&gt;0,(L7*(H7/100)*((D7+E7)/12)),0),2)</f>
        <v>0</v>
      </c>
      <c r="S7" s="61">
        <f>IF(R7&gt;M7,R7-M7,0)</f>
        <v>0</v>
      </c>
      <c r="T7" s="61">
        <f t="shared" ref="T7:T30" si="8">M7+S7</f>
        <v>0</v>
      </c>
      <c r="U7" s="62">
        <f t="shared" ref="U7:U30" si="9">IF(M7&gt;0,1,0)</f>
        <v>0</v>
      </c>
      <c r="V7" s="62">
        <f t="shared" ref="V7:V30" si="10">IF(S7&gt;0,1,0)</f>
        <v>0</v>
      </c>
      <c r="W7" s="61">
        <f t="shared" ref="W7:W30" si="11">IF(AND($E$3=2,H7&gt;0.76),T7-M38,0)</f>
        <v>0</v>
      </c>
    </row>
    <row r="8" spans="1:23" ht="18" customHeight="1" x14ac:dyDescent="0.25">
      <c r="A8" s="55">
        <v>3</v>
      </c>
      <c r="B8" s="50"/>
      <c r="C8" s="56"/>
      <c r="D8" s="57"/>
      <c r="E8" s="57"/>
      <c r="F8" s="58"/>
      <c r="G8" s="59"/>
      <c r="H8" s="59"/>
      <c r="I8" s="68">
        <f>IF($E$3=0,0,IF(F8&gt;0,IF($E$3=1,135,75),0))</f>
        <v>0</v>
      </c>
      <c r="J8" s="60">
        <f t="shared" si="3"/>
        <v>0</v>
      </c>
      <c r="K8" s="60">
        <f>IF($E$3=2,'Riduzione terreni'!D15,0)</f>
        <v>0</v>
      </c>
      <c r="L8" s="61">
        <f t="shared" si="4"/>
        <v>0</v>
      </c>
      <c r="M8" s="61">
        <f t="shared" si="5"/>
        <v>0</v>
      </c>
      <c r="N8" s="60">
        <f t="shared" si="0"/>
        <v>0</v>
      </c>
      <c r="O8" s="60">
        <f t="shared" si="1"/>
        <v>0</v>
      </c>
      <c r="P8" s="60">
        <f t="shared" si="6"/>
        <v>0</v>
      </c>
      <c r="Q8" s="60">
        <f t="shared" si="2"/>
        <v>0</v>
      </c>
      <c r="R8" s="60">
        <f t="shared" si="7"/>
        <v>0</v>
      </c>
      <c r="S8" s="61">
        <f t="shared" ref="S8:S30" si="12">IF(R8&gt;M8,R8-M8,0)</f>
        <v>0</v>
      </c>
      <c r="T8" s="61">
        <f t="shared" si="8"/>
        <v>0</v>
      </c>
      <c r="U8" s="62">
        <f t="shared" si="9"/>
        <v>0</v>
      </c>
      <c r="V8" s="62">
        <f t="shared" si="10"/>
        <v>0</v>
      </c>
      <c r="W8" s="61">
        <f t="shared" si="11"/>
        <v>0</v>
      </c>
    </row>
    <row r="9" spans="1:23" ht="18" customHeight="1" x14ac:dyDescent="0.25">
      <c r="A9" s="55">
        <v>4</v>
      </c>
      <c r="B9" s="50"/>
      <c r="C9" s="56"/>
      <c r="D9" s="57"/>
      <c r="E9" s="57"/>
      <c r="F9" s="58"/>
      <c r="G9" s="59"/>
      <c r="H9" s="59"/>
      <c r="I9" s="68">
        <f t="shared" ref="I9:I30" si="13">IF($E$3=0,0,IF(F9&gt;0,IF($E$3=1,135,75),0))</f>
        <v>0</v>
      </c>
      <c r="J9" s="60">
        <f t="shared" si="3"/>
        <v>0</v>
      </c>
      <c r="K9" s="60">
        <f>IF($E$3=2,'Riduzione terreni'!D16,0)</f>
        <v>0</v>
      </c>
      <c r="L9" s="61">
        <f t="shared" si="4"/>
        <v>0</v>
      </c>
      <c r="M9" s="61">
        <f t="shared" si="5"/>
        <v>0</v>
      </c>
      <c r="N9" s="60">
        <f t="shared" si="0"/>
        <v>0</v>
      </c>
      <c r="O9" s="60">
        <f t="shared" si="1"/>
        <v>0</v>
      </c>
      <c r="P9" s="60">
        <f t="shared" si="6"/>
        <v>0</v>
      </c>
      <c r="Q9" s="60">
        <f t="shared" si="2"/>
        <v>0</v>
      </c>
      <c r="R9" s="60">
        <f t="shared" si="7"/>
        <v>0</v>
      </c>
      <c r="S9" s="61">
        <f t="shared" si="12"/>
        <v>0</v>
      </c>
      <c r="T9" s="61">
        <f t="shared" si="8"/>
        <v>0</v>
      </c>
      <c r="U9" s="62">
        <f t="shared" si="9"/>
        <v>0</v>
      </c>
      <c r="V9" s="62">
        <f t="shared" si="10"/>
        <v>0</v>
      </c>
      <c r="W9" s="61">
        <f t="shared" si="11"/>
        <v>0</v>
      </c>
    </row>
    <row r="10" spans="1:23" ht="18" customHeight="1" x14ac:dyDescent="0.25">
      <c r="A10" s="55">
        <v>5</v>
      </c>
      <c r="B10" s="50"/>
      <c r="C10" s="56"/>
      <c r="D10" s="57"/>
      <c r="E10" s="57"/>
      <c r="F10" s="58"/>
      <c r="G10" s="59"/>
      <c r="H10" s="59"/>
      <c r="I10" s="68">
        <f t="shared" si="13"/>
        <v>0</v>
      </c>
      <c r="J10" s="60">
        <f t="shared" si="3"/>
        <v>0</v>
      </c>
      <c r="K10" s="60">
        <f>IF($E$3=2,'Riduzione terreni'!D17,0)</f>
        <v>0</v>
      </c>
      <c r="L10" s="61">
        <f t="shared" si="4"/>
        <v>0</v>
      </c>
      <c r="M10" s="61">
        <f t="shared" si="5"/>
        <v>0</v>
      </c>
      <c r="N10" s="60">
        <f t="shared" si="0"/>
        <v>0</v>
      </c>
      <c r="O10" s="60">
        <f t="shared" si="1"/>
        <v>0</v>
      </c>
      <c r="P10" s="60">
        <f t="shared" si="6"/>
        <v>0</v>
      </c>
      <c r="Q10" s="60">
        <f t="shared" si="2"/>
        <v>0</v>
      </c>
      <c r="R10" s="60">
        <f t="shared" si="7"/>
        <v>0</v>
      </c>
      <c r="S10" s="61">
        <f t="shared" si="12"/>
        <v>0</v>
      </c>
      <c r="T10" s="61">
        <f t="shared" si="8"/>
        <v>0</v>
      </c>
      <c r="U10" s="62">
        <f t="shared" si="9"/>
        <v>0</v>
      </c>
      <c r="V10" s="62">
        <f t="shared" si="10"/>
        <v>0</v>
      </c>
      <c r="W10" s="61">
        <f t="shared" si="11"/>
        <v>0</v>
      </c>
    </row>
    <row r="11" spans="1:23" ht="18" customHeight="1" x14ac:dyDescent="0.25">
      <c r="A11" s="55">
        <v>6</v>
      </c>
      <c r="B11" s="50"/>
      <c r="C11" s="56"/>
      <c r="D11" s="57"/>
      <c r="E11" s="57"/>
      <c r="F11" s="58"/>
      <c r="G11" s="59"/>
      <c r="H11" s="59"/>
      <c r="I11" s="68">
        <f t="shared" si="13"/>
        <v>0</v>
      </c>
      <c r="J11" s="60">
        <f t="shared" si="3"/>
        <v>0</v>
      </c>
      <c r="K11" s="60">
        <f>IF($E$3=2,'Riduzione terreni'!D18,0)</f>
        <v>0</v>
      </c>
      <c r="L11" s="61">
        <f t="shared" si="4"/>
        <v>0</v>
      </c>
      <c r="M11" s="61">
        <f t="shared" si="5"/>
        <v>0</v>
      </c>
      <c r="N11" s="60">
        <f t="shared" si="0"/>
        <v>0</v>
      </c>
      <c r="O11" s="60">
        <f t="shared" si="1"/>
        <v>0</v>
      </c>
      <c r="P11" s="60">
        <f t="shared" si="6"/>
        <v>0</v>
      </c>
      <c r="Q11" s="60">
        <f t="shared" si="2"/>
        <v>0</v>
      </c>
      <c r="R11" s="60">
        <f t="shared" si="7"/>
        <v>0</v>
      </c>
      <c r="S11" s="61">
        <f t="shared" si="12"/>
        <v>0</v>
      </c>
      <c r="T11" s="61">
        <f t="shared" si="8"/>
        <v>0</v>
      </c>
      <c r="U11" s="62">
        <f t="shared" si="9"/>
        <v>0</v>
      </c>
      <c r="V11" s="62">
        <f t="shared" si="10"/>
        <v>0</v>
      </c>
      <c r="W11" s="61">
        <f t="shared" si="11"/>
        <v>0</v>
      </c>
    </row>
    <row r="12" spans="1:23" ht="18" customHeight="1" x14ac:dyDescent="0.25">
      <c r="A12" s="55">
        <v>7</v>
      </c>
      <c r="B12" s="50"/>
      <c r="C12" s="56"/>
      <c r="D12" s="57"/>
      <c r="E12" s="57"/>
      <c r="F12" s="58"/>
      <c r="G12" s="59"/>
      <c r="H12" s="59"/>
      <c r="I12" s="68">
        <f t="shared" si="13"/>
        <v>0</v>
      </c>
      <c r="J12" s="60">
        <f t="shared" si="3"/>
        <v>0</v>
      </c>
      <c r="K12" s="60">
        <f>IF($E$3=2,'Riduzione terreni'!D19,0)</f>
        <v>0</v>
      </c>
      <c r="L12" s="61">
        <f t="shared" si="4"/>
        <v>0</v>
      </c>
      <c r="M12" s="61">
        <f t="shared" si="5"/>
        <v>0</v>
      </c>
      <c r="N12" s="60">
        <f t="shared" si="0"/>
        <v>0</v>
      </c>
      <c r="O12" s="60">
        <f t="shared" si="1"/>
        <v>0</v>
      </c>
      <c r="P12" s="60">
        <f t="shared" si="6"/>
        <v>0</v>
      </c>
      <c r="Q12" s="60">
        <f t="shared" si="2"/>
        <v>0</v>
      </c>
      <c r="R12" s="60">
        <f t="shared" si="7"/>
        <v>0</v>
      </c>
      <c r="S12" s="61">
        <f t="shared" si="12"/>
        <v>0</v>
      </c>
      <c r="T12" s="61">
        <f t="shared" si="8"/>
        <v>0</v>
      </c>
      <c r="U12" s="62">
        <f t="shared" si="9"/>
        <v>0</v>
      </c>
      <c r="V12" s="62">
        <f t="shared" si="10"/>
        <v>0</v>
      </c>
      <c r="W12" s="61">
        <f t="shared" si="11"/>
        <v>0</v>
      </c>
    </row>
    <row r="13" spans="1:23" ht="18" customHeight="1" x14ac:dyDescent="0.25">
      <c r="A13" s="55">
        <v>8</v>
      </c>
      <c r="B13" s="50"/>
      <c r="C13" s="56"/>
      <c r="D13" s="57"/>
      <c r="E13" s="57"/>
      <c r="F13" s="58"/>
      <c r="G13" s="59"/>
      <c r="H13" s="59"/>
      <c r="I13" s="68">
        <f t="shared" si="13"/>
        <v>0</v>
      </c>
      <c r="J13" s="60">
        <f t="shared" si="3"/>
        <v>0</v>
      </c>
      <c r="K13" s="60">
        <f>IF($E$3=2,'Riduzione terreni'!D20,0)</f>
        <v>0</v>
      </c>
      <c r="L13" s="61">
        <f t="shared" si="4"/>
        <v>0</v>
      </c>
      <c r="M13" s="61">
        <f t="shared" si="5"/>
        <v>0</v>
      </c>
      <c r="N13" s="60">
        <f t="shared" ref="N13:N30" si="14">IF(M13&gt;0,M13/2,0)</f>
        <v>0</v>
      </c>
      <c r="O13" s="60">
        <f t="shared" ref="O13:O30" si="15">M13-N13</f>
        <v>0</v>
      </c>
      <c r="P13" s="60">
        <f t="shared" ref="P13:P30" si="16">ROUND(IF(L13&gt;0,(L13*(H13/100)*(E13/12)),0),2)</f>
        <v>0</v>
      </c>
      <c r="Q13" s="60">
        <f t="shared" ref="Q13:Q30" si="17">IF(P13&gt;N13,IF(P13-N13-O13-R13&gt;0,P13-N13-O13-R13,0),0)</f>
        <v>0</v>
      </c>
      <c r="R13" s="60">
        <f t="shared" si="7"/>
        <v>0</v>
      </c>
      <c r="S13" s="61">
        <f t="shared" si="12"/>
        <v>0</v>
      </c>
      <c r="T13" s="61">
        <f t="shared" si="8"/>
        <v>0</v>
      </c>
      <c r="U13" s="62">
        <f t="shared" si="9"/>
        <v>0</v>
      </c>
      <c r="V13" s="62">
        <f t="shared" si="10"/>
        <v>0</v>
      </c>
      <c r="W13" s="61">
        <f t="shared" si="11"/>
        <v>0</v>
      </c>
    </row>
    <row r="14" spans="1:23" ht="18" customHeight="1" x14ac:dyDescent="0.25">
      <c r="A14" s="55">
        <v>9</v>
      </c>
      <c r="B14" s="50"/>
      <c r="C14" s="56"/>
      <c r="D14" s="57"/>
      <c r="E14" s="57"/>
      <c r="F14" s="58"/>
      <c r="G14" s="59"/>
      <c r="H14" s="59"/>
      <c r="I14" s="68">
        <f t="shared" si="13"/>
        <v>0</v>
      </c>
      <c r="J14" s="60">
        <f t="shared" si="3"/>
        <v>0</v>
      </c>
      <c r="K14" s="60">
        <f>IF($E$3=2,'Riduzione terreni'!D21,0)</f>
        <v>0</v>
      </c>
      <c r="L14" s="61">
        <f t="shared" si="4"/>
        <v>0</v>
      </c>
      <c r="M14" s="61">
        <f t="shared" si="5"/>
        <v>0</v>
      </c>
      <c r="N14" s="60">
        <f t="shared" si="14"/>
        <v>0</v>
      </c>
      <c r="O14" s="60">
        <f t="shared" si="15"/>
        <v>0</v>
      </c>
      <c r="P14" s="60">
        <f t="shared" si="16"/>
        <v>0</v>
      </c>
      <c r="Q14" s="60">
        <f t="shared" si="17"/>
        <v>0</v>
      </c>
      <c r="R14" s="60">
        <f t="shared" si="7"/>
        <v>0</v>
      </c>
      <c r="S14" s="61">
        <f t="shared" si="12"/>
        <v>0</v>
      </c>
      <c r="T14" s="61">
        <f t="shared" si="8"/>
        <v>0</v>
      </c>
      <c r="U14" s="62">
        <f t="shared" si="9"/>
        <v>0</v>
      </c>
      <c r="V14" s="62">
        <f t="shared" si="10"/>
        <v>0</v>
      </c>
      <c r="W14" s="61">
        <f t="shared" si="11"/>
        <v>0</v>
      </c>
    </row>
    <row r="15" spans="1:23" ht="18" customHeight="1" x14ac:dyDescent="0.25">
      <c r="A15" s="63">
        <v>10</v>
      </c>
      <c r="B15" s="50"/>
      <c r="C15" s="56"/>
      <c r="D15" s="57"/>
      <c r="E15" s="57"/>
      <c r="F15" s="58"/>
      <c r="G15" s="59"/>
      <c r="H15" s="59"/>
      <c r="I15" s="68">
        <f t="shared" si="13"/>
        <v>0</v>
      </c>
      <c r="J15" s="60">
        <f t="shared" si="3"/>
        <v>0</v>
      </c>
      <c r="K15" s="60">
        <f>IF($E$3=2,'Riduzione terreni'!D22,0)</f>
        <v>0</v>
      </c>
      <c r="L15" s="61">
        <f t="shared" si="4"/>
        <v>0</v>
      </c>
      <c r="M15" s="61">
        <f t="shared" si="5"/>
        <v>0</v>
      </c>
      <c r="N15" s="60">
        <f t="shared" si="14"/>
        <v>0</v>
      </c>
      <c r="O15" s="60">
        <f t="shared" si="15"/>
        <v>0</v>
      </c>
      <c r="P15" s="60">
        <f t="shared" si="16"/>
        <v>0</v>
      </c>
      <c r="Q15" s="60">
        <f t="shared" si="17"/>
        <v>0</v>
      </c>
      <c r="R15" s="60">
        <f t="shared" si="7"/>
        <v>0</v>
      </c>
      <c r="S15" s="61">
        <f t="shared" si="12"/>
        <v>0</v>
      </c>
      <c r="T15" s="61">
        <f t="shared" si="8"/>
        <v>0</v>
      </c>
      <c r="U15" s="62">
        <f t="shared" si="9"/>
        <v>0</v>
      </c>
      <c r="V15" s="62">
        <f t="shared" si="10"/>
        <v>0</v>
      </c>
      <c r="W15" s="61">
        <f t="shared" si="11"/>
        <v>0</v>
      </c>
    </row>
    <row r="16" spans="1:23" ht="18" customHeight="1" x14ac:dyDescent="0.25">
      <c r="A16" s="55">
        <v>11</v>
      </c>
      <c r="B16" s="50"/>
      <c r="C16" s="56"/>
      <c r="D16" s="57"/>
      <c r="E16" s="57"/>
      <c r="F16" s="58"/>
      <c r="G16" s="59"/>
      <c r="H16" s="59"/>
      <c r="I16" s="68">
        <f t="shared" si="13"/>
        <v>0</v>
      </c>
      <c r="J16" s="60">
        <f t="shared" ref="J16:J30" si="18">ROUND(IF(F16=0,0,(F16*C16/100)*1.25*I16),2)</f>
        <v>0</v>
      </c>
      <c r="K16" s="60">
        <f>IF($E$3=2,'Riduzione terreni'!D23,0)</f>
        <v>0</v>
      </c>
      <c r="L16" s="61">
        <f t="shared" si="4"/>
        <v>0</v>
      </c>
      <c r="M16" s="61">
        <f t="shared" si="5"/>
        <v>0</v>
      </c>
      <c r="N16" s="60">
        <f t="shared" si="14"/>
        <v>0</v>
      </c>
      <c r="O16" s="60">
        <f t="shared" si="15"/>
        <v>0</v>
      </c>
      <c r="P16" s="60">
        <f t="shared" si="16"/>
        <v>0</v>
      </c>
      <c r="Q16" s="60">
        <f t="shared" si="17"/>
        <v>0</v>
      </c>
      <c r="R16" s="60">
        <f t="shared" si="7"/>
        <v>0</v>
      </c>
      <c r="S16" s="61">
        <f t="shared" si="12"/>
        <v>0</v>
      </c>
      <c r="T16" s="61">
        <f t="shared" si="8"/>
        <v>0</v>
      </c>
      <c r="U16" s="62">
        <f t="shared" si="9"/>
        <v>0</v>
      </c>
      <c r="V16" s="62">
        <f t="shared" si="10"/>
        <v>0</v>
      </c>
      <c r="W16" s="61">
        <f t="shared" si="11"/>
        <v>0</v>
      </c>
    </row>
    <row r="17" spans="1:23" ht="18" customHeight="1" x14ac:dyDescent="0.25">
      <c r="A17" s="55">
        <v>12</v>
      </c>
      <c r="B17" s="50"/>
      <c r="C17" s="56"/>
      <c r="D17" s="57"/>
      <c r="E17" s="57"/>
      <c r="F17" s="58"/>
      <c r="G17" s="59"/>
      <c r="H17" s="59"/>
      <c r="I17" s="68">
        <f t="shared" si="13"/>
        <v>0</v>
      </c>
      <c r="J17" s="60">
        <f t="shared" si="18"/>
        <v>0</v>
      </c>
      <c r="K17" s="60">
        <f>IF($E$3=2,'Riduzione terreni'!D24,0)</f>
        <v>0</v>
      </c>
      <c r="L17" s="61">
        <f t="shared" si="4"/>
        <v>0</v>
      </c>
      <c r="M17" s="61">
        <f t="shared" si="5"/>
        <v>0</v>
      </c>
      <c r="N17" s="60">
        <f t="shared" si="14"/>
        <v>0</v>
      </c>
      <c r="O17" s="60">
        <f t="shared" si="15"/>
        <v>0</v>
      </c>
      <c r="P17" s="60">
        <f t="shared" si="16"/>
        <v>0</v>
      </c>
      <c r="Q17" s="60">
        <f t="shared" si="17"/>
        <v>0</v>
      </c>
      <c r="R17" s="60">
        <f t="shared" si="7"/>
        <v>0</v>
      </c>
      <c r="S17" s="61">
        <f t="shared" si="12"/>
        <v>0</v>
      </c>
      <c r="T17" s="61">
        <f t="shared" si="8"/>
        <v>0</v>
      </c>
      <c r="U17" s="62">
        <f t="shared" si="9"/>
        <v>0</v>
      </c>
      <c r="V17" s="62">
        <f t="shared" si="10"/>
        <v>0</v>
      </c>
      <c r="W17" s="61">
        <f t="shared" si="11"/>
        <v>0</v>
      </c>
    </row>
    <row r="18" spans="1:23" ht="18" customHeight="1" x14ac:dyDescent="0.25">
      <c r="A18" s="55">
        <v>13</v>
      </c>
      <c r="B18" s="50"/>
      <c r="C18" s="56"/>
      <c r="D18" s="57"/>
      <c r="E18" s="57"/>
      <c r="F18" s="58"/>
      <c r="G18" s="59"/>
      <c r="H18" s="59"/>
      <c r="I18" s="68">
        <f t="shared" si="13"/>
        <v>0</v>
      </c>
      <c r="J18" s="60">
        <f t="shared" si="18"/>
        <v>0</v>
      </c>
      <c r="K18" s="60">
        <f>IF($E$3=2,'Riduzione terreni'!D25,0)</f>
        <v>0</v>
      </c>
      <c r="L18" s="61">
        <f t="shared" si="4"/>
        <v>0</v>
      </c>
      <c r="M18" s="61">
        <f t="shared" si="5"/>
        <v>0</v>
      </c>
      <c r="N18" s="60">
        <f t="shared" si="14"/>
        <v>0</v>
      </c>
      <c r="O18" s="60">
        <f t="shared" si="15"/>
        <v>0</v>
      </c>
      <c r="P18" s="60">
        <f t="shared" si="16"/>
        <v>0</v>
      </c>
      <c r="Q18" s="60">
        <f t="shared" si="17"/>
        <v>0</v>
      </c>
      <c r="R18" s="60">
        <f t="shared" si="7"/>
        <v>0</v>
      </c>
      <c r="S18" s="61">
        <f t="shared" si="12"/>
        <v>0</v>
      </c>
      <c r="T18" s="61">
        <f t="shared" si="8"/>
        <v>0</v>
      </c>
      <c r="U18" s="62">
        <f t="shared" si="9"/>
        <v>0</v>
      </c>
      <c r="V18" s="62">
        <f t="shared" si="10"/>
        <v>0</v>
      </c>
      <c r="W18" s="61">
        <f t="shared" si="11"/>
        <v>0</v>
      </c>
    </row>
    <row r="19" spans="1:23" ht="18" customHeight="1" x14ac:dyDescent="0.25">
      <c r="A19" s="63">
        <v>14</v>
      </c>
      <c r="B19" s="50"/>
      <c r="C19" s="56"/>
      <c r="D19" s="57"/>
      <c r="E19" s="57"/>
      <c r="F19" s="58"/>
      <c r="G19" s="59"/>
      <c r="H19" s="59"/>
      <c r="I19" s="68">
        <f t="shared" si="13"/>
        <v>0</v>
      </c>
      <c r="J19" s="60">
        <f t="shared" si="18"/>
        <v>0</v>
      </c>
      <c r="K19" s="60">
        <f>IF($E$3=2,'Riduzione terreni'!D26,0)</f>
        <v>0</v>
      </c>
      <c r="L19" s="61">
        <f t="shared" si="4"/>
        <v>0</v>
      </c>
      <c r="M19" s="61">
        <f t="shared" si="5"/>
        <v>0</v>
      </c>
      <c r="N19" s="60">
        <f t="shared" si="14"/>
        <v>0</v>
      </c>
      <c r="O19" s="60">
        <f t="shared" si="15"/>
        <v>0</v>
      </c>
      <c r="P19" s="60">
        <f t="shared" si="16"/>
        <v>0</v>
      </c>
      <c r="Q19" s="60">
        <f t="shared" si="17"/>
        <v>0</v>
      </c>
      <c r="R19" s="60">
        <f t="shared" si="7"/>
        <v>0</v>
      </c>
      <c r="S19" s="61">
        <f t="shared" si="12"/>
        <v>0</v>
      </c>
      <c r="T19" s="61">
        <f t="shared" si="8"/>
        <v>0</v>
      </c>
      <c r="U19" s="62">
        <f t="shared" si="9"/>
        <v>0</v>
      </c>
      <c r="V19" s="62">
        <f t="shared" si="10"/>
        <v>0</v>
      </c>
      <c r="W19" s="61">
        <f t="shared" si="11"/>
        <v>0</v>
      </c>
    </row>
    <row r="20" spans="1:23" ht="18" customHeight="1" x14ac:dyDescent="0.25">
      <c r="A20" s="55">
        <v>15</v>
      </c>
      <c r="B20" s="50"/>
      <c r="C20" s="56"/>
      <c r="D20" s="57"/>
      <c r="E20" s="57"/>
      <c r="F20" s="58"/>
      <c r="G20" s="59"/>
      <c r="H20" s="59"/>
      <c r="I20" s="68">
        <f t="shared" si="13"/>
        <v>0</v>
      </c>
      <c r="J20" s="60">
        <f t="shared" si="18"/>
        <v>0</v>
      </c>
      <c r="K20" s="60">
        <f>IF($E$3=2,'Riduzione terreni'!D27,0)</f>
        <v>0</v>
      </c>
      <c r="L20" s="61">
        <f t="shared" si="4"/>
        <v>0</v>
      </c>
      <c r="M20" s="61">
        <f t="shared" si="5"/>
        <v>0</v>
      </c>
      <c r="N20" s="60">
        <f t="shared" si="14"/>
        <v>0</v>
      </c>
      <c r="O20" s="60">
        <f t="shared" si="15"/>
        <v>0</v>
      </c>
      <c r="P20" s="60">
        <f t="shared" si="16"/>
        <v>0</v>
      </c>
      <c r="Q20" s="60">
        <f t="shared" si="17"/>
        <v>0</v>
      </c>
      <c r="R20" s="60">
        <f t="shared" si="7"/>
        <v>0</v>
      </c>
      <c r="S20" s="61">
        <f t="shared" si="12"/>
        <v>0</v>
      </c>
      <c r="T20" s="61">
        <f t="shared" si="8"/>
        <v>0</v>
      </c>
      <c r="U20" s="62">
        <f t="shared" si="9"/>
        <v>0</v>
      </c>
      <c r="V20" s="62">
        <f t="shared" si="10"/>
        <v>0</v>
      </c>
      <c r="W20" s="61">
        <f t="shared" si="11"/>
        <v>0</v>
      </c>
    </row>
    <row r="21" spans="1:23" ht="18" customHeight="1" x14ac:dyDescent="0.25">
      <c r="A21" s="55">
        <v>16</v>
      </c>
      <c r="B21" s="50"/>
      <c r="C21" s="56"/>
      <c r="D21" s="57"/>
      <c r="E21" s="57"/>
      <c r="F21" s="58"/>
      <c r="G21" s="59"/>
      <c r="H21" s="59"/>
      <c r="I21" s="68">
        <f t="shared" si="13"/>
        <v>0</v>
      </c>
      <c r="J21" s="60">
        <f t="shared" si="18"/>
        <v>0</v>
      </c>
      <c r="K21" s="60">
        <f>IF($E$3=2,'Riduzione terreni'!D28,0)</f>
        <v>0</v>
      </c>
      <c r="L21" s="61">
        <f t="shared" si="4"/>
        <v>0</v>
      </c>
      <c r="M21" s="61">
        <f t="shared" si="5"/>
        <v>0</v>
      </c>
      <c r="N21" s="60">
        <f t="shared" si="14"/>
        <v>0</v>
      </c>
      <c r="O21" s="60">
        <f t="shared" si="15"/>
        <v>0</v>
      </c>
      <c r="P21" s="60">
        <f t="shared" si="16"/>
        <v>0</v>
      </c>
      <c r="Q21" s="60">
        <f t="shared" si="17"/>
        <v>0</v>
      </c>
      <c r="R21" s="60">
        <f t="shared" si="7"/>
        <v>0</v>
      </c>
      <c r="S21" s="61">
        <f t="shared" si="12"/>
        <v>0</v>
      </c>
      <c r="T21" s="61">
        <f t="shared" si="8"/>
        <v>0</v>
      </c>
      <c r="U21" s="62">
        <f t="shared" si="9"/>
        <v>0</v>
      </c>
      <c r="V21" s="62">
        <f t="shared" si="10"/>
        <v>0</v>
      </c>
      <c r="W21" s="61">
        <f t="shared" si="11"/>
        <v>0</v>
      </c>
    </row>
    <row r="22" spans="1:23" ht="18" customHeight="1" x14ac:dyDescent="0.25">
      <c r="A22" s="55">
        <v>17</v>
      </c>
      <c r="B22" s="50"/>
      <c r="C22" s="56"/>
      <c r="D22" s="57"/>
      <c r="E22" s="57"/>
      <c r="F22" s="58"/>
      <c r="G22" s="59"/>
      <c r="H22" s="59"/>
      <c r="I22" s="68">
        <f t="shared" si="13"/>
        <v>0</v>
      </c>
      <c r="J22" s="60">
        <f t="shared" si="18"/>
        <v>0</v>
      </c>
      <c r="K22" s="60">
        <f>IF($E$3=2,'Riduzione terreni'!D29,0)</f>
        <v>0</v>
      </c>
      <c r="L22" s="61">
        <f t="shared" si="4"/>
        <v>0</v>
      </c>
      <c r="M22" s="61">
        <f t="shared" si="5"/>
        <v>0</v>
      </c>
      <c r="N22" s="60">
        <f t="shared" si="14"/>
        <v>0</v>
      </c>
      <c r="O22" s="60">
        <f t="shared" si="15"/>
        <v>0</v>
      </c>
      <c r="P22" s="60">
        <f t="shared" si="16"/>
        <v>0</v>
      </c>
      <c r="Q22" s="60">
        <f t="shared" si="17"/>
        <v>0</v>
      </c>
      <c r="R22" s="60">
        <f t="shared" si="7"/>
        <v>0</v>
      </c>
      <c r="S22" s="61">
        <f t="shared" si="12"/>
        <v>0</v>
      </c>
      <c r="T22" s="61">
        <f t="shared" si="8"/>
        <v>0</v>
      </c>
      <c r="U22" s="62">
        <f t="shared" si="9"/>
        <v>0</v>
      </c>
      <c r="V22" s="62">
        <f t="shared" si="10"/>
        <v>0</v>
      </c>
      <c r="W22" s="61">
        <f t="shared" si="11"/>
        <v>0</v>
      </c>
    </row>
    <row r="23" spans="1:23" ht="18" customHeight="1" x14ac:dyDescent="0.25">
      <c r="A23" s="63">
        <v>18</v>
      </c>
      <c r="B23" s="50"/>
      <c r="C23" s="56"/>
      <c r="D23" s="57"/>
      <c r="E23" s="57"/>
      <c r="F23" s="58"/>
      <c r="G23" s="59"/>
      <c r="H23" s="59"/>
      <c r="I23" s="68">
        <f t="shared" si="13"/>
        <v>0</v>
      </c>
      <c r="J23" s="60">
        <f t="shared" si="18"/>
        <v>0</v>
      </c>
      <c r="K23" s="60">
        <f>IF($E$3=2,'Riduzione terreni'!D30,0)</f>
        <v>0</v>
      </c>
      <c r="L23" s="61">
        <f t="shared" si="4"/>
        <v>0</v>
      </c>
      <c r="M23" s="61">
        <f t="shared" si="5"/>
        <v>0</v>
      </c>
      <c r="N23" s="60">
        <f t="shared" si="14"/>
        <v>0</v>
      </c>
      <c r="O23" s="60">
        <f t="shared" si="15"/>
        <v>0</v>
      </c>
      <c r="P23" s="60">
        <f t="shared" si="16"/>
        <v>0</v>
      </c>
      <c r="Q23" s="60">
        <f t="shared" si="17"/>
        <v>0</v>
      </c>
      <c r="R23" s="60">
        <f t="shared" si="7"/>
        <v>0</v>
      </c>
      <c r="S23" s="61">
        <f t="shared" si="12"/>
        <v>0</v>
      </c>
      <c r="T23" s="61">
        <f t="shared" si="8"/>
        <v>0</v>
      </c>
      <c r="U23" s="62">
        <f t="shared" si="9"/>
        <v>0</v>
      </c>
      <c r="V23" s="62">
        <f t="shared" si="10"/>
        <v>0</v>
      </c>
      <c r="W23" s="61">
        <f t="shared" si="11"/>
        <v>0</v>
      </c>
    </row>
    <row r="24" spans="1:23" ht="18" customHeight="1" x14ac:dyDescent="0.25">
      <c r="A24" s="55">
        <v>19</v>
      </c>
      <c r="B24" s="50"/>
      <c r="C24" s="56"/>
      <c r="D24" s="57"/>
      <c r="E24" s="57"/>
      <c r="F24" s="58"/>
      <c r="G24" s="59"/>
      <c r="H24" s="59"/>
      <c r="I24" s="68">
        <f t="shared" si="13"/>
        <v>0</v>
      </c>
      <c r="J24" s="60">
        <f t="shared" si="18"/>
        <v>0</v>
      </c>
      <c r="K24" s="60">
        <f>IF($E$3=2,'Riduzione terreni'!D31,0)</f>
        <v>0</v>
      </c>
      <c r="L24" s="61">
        <f t="shared" si="4"/>
        <v>0</v>
      </c>
      <c r="M24" s="61">
        <f t="shared" si="5"/>
        <v>0</v>
      </c>
      <c r="N24" s="60">
        <f t="shared" si="14"/>
        <v>0</v>
      </c>
      <c r="O24" s="60">
        <f t="shared" si="15"/>
        <v>0</v>
      </c>
      <c r="P24" s="60">
        <f t="shared" si="16"/>
        <v>0</v>
      </c>
      <c r="Q24" s="60">
        <f t="shared" si="17"/>
        <v>0</v>
      </c>
      <c r="R24" s="60">
        <f t="shared" si="7"/>
        <v>0</v>
      </c>
      <c r="S24" s="61">
        <f t="shared" si="12"/>
        <v>0</v>
      </c>
      <c r="T24" s="61">
        <f t="shared" si="8"/>
        <v>0</v>
      </c>
      <c r="U24" s="62">
        <f t="shared" si="9"/>
        <v>0</v>
      </c>
      <c r="V24" s="62">
        <f t="shared" si="10"/>
        <v>0</v>
      </c>
      <c r="W24" s="61">
        <f t="shared" si="11"/>
        <v>0</v>
      </c>
    </row>
    <row r="25" spans="1:23" ht="18" customHeight="1" x14ac:dyDescent="0.25">
      <c r="A25" s="55">
        <v>20</v>
      </c>
      <c r="B25" s="50"/>
      <c r="C25" s="56"/>
      <c r="D25" s="57"/>
      <c r="E25" s="57"/>
      <c r="F25" s="58"/>
      <c r="G25" s="59"/>
      <c r="H25" s="59"/>
      <c r="I25" s="68">
        <f t="shared" si="13"/>
        <v>0</v>
      </c>
      <c r="J25" s="60">
        <f t="shared" si="18"/>
        <v>0</v>
      </c>
      <c r="K25" s="60">
        <f>IF($E$3=2,'Riduzione terreni'!D32,0)</f>
        <v>0</v>
      </c>
      <c r="L25" s="61">
        <f t="shared" si="4"/>
        <v>0</v>
      </c>
      <c r="M25" s="61">
        <f t="shared" si="5"/>
        <v>0</v>
      </c>
      <c r="N25" s="60">
        <f t="shared" si="14"/>
        <v>0</v>
      </c>
      <c r="O25" s="60">
        <f t="shared" si="15"/>
        <v>0</v>
      </c>
      <c r="P25" s="60">
        <f t="shared" si="16"/>
        <v>0</v>
      </c>
      <c r="Q25" s="60">
        <f t="shared" si="17"/>
        <v>0</v>
      </c>
      <c r="R25" s="60">
        <f t="shared" si="7"/>
        <v>0</v>
      </c>
      <c r="S25" s="61">
        <f t="shared" si="12"/>
        <v>0</v>
      </c>
      <c r="T25" s="61">
        <f t="shared" si="8"/>
        <v>0</v>
      </c>
      <c r="U25" s="62">
        <f t="shared" si="9"/>
        <v>0</v>
      </c>
      <c r="V25" s="62">
        <f t="shared" si="10"/>
        <v>0</v>
      </c>
      <c r="W25" s="61">
        <f t="shared" si="11"/>
        <v>0</v>
      </c>
    </row>
    <row r="26" spans="1:23" ht="18" customHeight="1" x14ac:dyDescent="0.25">
      <c r="A26" s="55">
        <v>21</v>
      </c>
      <c r="B26" s="50"/>
      <c r="C26" s="56"/>
      <c r="D26" s="57"/>
      <c r="E26" s="57"/>
      <c r="F26" s="58"/>
      <c r="G26" s="59"/>
      <c r="H26" s="59"/>
      <c r="I26" s="68">
        <f t="shared" si="13"/>
        <v>0</v>
      </c>
      <c r="J26" s="60">
        <f t="shared" si="18"/>
        <v>0</v>
      </c>
      <c r="K26" s="60">
        <f>IF($E$3=2,'Riduzione terreni'!D33,0)</f>
        <v>0</v>
      </c>
      <c r="L26" s="61">
        <f t="shared" si="4"/>
        <v>0</v>
      </c>
      <c r="M26" s="61">
        <f t="shared" si="5"/>
        <v>0</v>
      </c>
      <c r="N26" s="60">
        <f t="shared" si="14"/>
        <v>0</v>
      </c>
      <c r="O26" s="60">
        <f t="shared" si="15"/>
        <v>0</v>
      </c>
      <c r="P26" s="60">
        <f t="shared" si="16"/>
        <v>0</v>
      </c>
      <c r="Q26" s="60">
        <f t="shared" si="17"/>
        <v>0</v>
      </c>
      <c r="R26" s="60">
        <f t="shared" si="7"/>
        <v>0</v>
      </c>
      <c r="S26" s="61">
        <f t="shared" si="12"/>
        <v>0</v>
      </c>
      <c r="T26" s="61">
        <f t="shared" si="8"/>
        <v>0</v>
      </c>
      <c r="U26" s="62">
        <f t="shared" si="9"/>
        <v>0</v>
      </c>
      <c r="V26" s="62">
        <f t="shared" si="10"/>
        <v>0</v>
      </c>
      <c r="W26" s="61">
        <f t="shared" si="11"/>
        <v>0</v>
      </c>
    </row>
    <row r="27" spans="1:23" ht="18" customHeight="1" x14ac:dyDescent="0.25">
      <c r="A27" s="55">
        <v>22</v>
      </c>
      <c r="B27" s="50"/>
      <c r="C27" s="56"/>
      <c r="D27" s="57"/>
      <c r="E27" s="57"/>
      <c r="F27" s="58"/>
      <c r="G27" s="59"/>
      <c r="H27" s="59"/>
      <c r="I27" s="68">
        <f t="shared" si="13"/>
        <v>0</v>
      </c>
      <c r="J27" s="60">
        <f t="shared" si="18"/>
        <v>0</v>
      </c>
      <c r="K27" s="60">
        <f>IF($E$3=2,'Riduzione terreni'!D34,0)</f>
        <v>0</v>
      </c>
      <c r="L27" s="61">
        <f t="shared" si="4"/>
        <v>0</v>
      </c>
      <c r="M27" s="61">
        <f t="shared" si="5"/>
        <v>0</v>
      </c>
      <c r="N27" s="60">
        <f t="shared" si="14"/>
        <v>0</v>
      </c>
      <c r="O27" s="60">
        <f t="shared" si="15"/>
        <v>0</v>
      </c>
      <c r="P27" s="60">
        <f t="shared" si="16"/>
        <v>0</v>
      </c>
      <c r="Q27" s="60">
        <f t="shared" si="17"/>
        <v>0</v>
      </c>
      <c r="R27" s="60">
        <f t="shared" si="7"/>
        <v>0</v>
      </c>
      <c r="S27" s="61">
        <f t="shared" si="12"/>
        <v>0</v>
      </c>
      <c r="T27" s="61">
        <f t="shared" si="8"/>
        <v>0</v>
      </c>
      <c r="U27" s="62">
        <f t="shared" si="9"/>
        <v>0</v>
      </c>
      <c r="V27" s="62">
        <f t="shared" si="10"/>
        <v>0</v>
      </c>
      <c r="W27" s="61">
        <f t="shared" si="11"/>
        <v>0</v>
      </c>
    </row>
    <row r="28" spans="1:23" ht="18" customHeight="1" x14ac:dyDescent="0.25">
      <c r="A28" s="55">
        <v>23</v>
      </c>
      <c r="B28" s="50"/>
      <c r="C28" s="56"/>
      <c r="D28" s="57"/>
      <c r="E28" s="57"/>
      <c r="F28" s="58"/>
      <c r="G28" s="59"/>
      <c r="H28" s="59"/>
      <c r="I28" s="68">
        <f t="shared" si="13"/>
        <v>0</v>
      </c>
      <c r="J28" s="60">
        <f t="shared" si="18"/>
        <v>0</v>
      </c>
      <c r="K28" s="60">
        <f>IF($E$3=2,'Riduzione terreni'!D35,0)</f>
        <v>0</v>
      </c>
      <c r="L28" s="61">
        <f t="shared" si="4"/>
        <v>0</v>
      </c>
      <c r="M28" s="61">
        <f t="shared" si="5"/>
        <v>0</v>
      </c>
      <c r="N28" s="60">
        <f t="shared" si="14"/>
        <v>0</v>
      </c>
      <c r="O28" s="60">
        <f t="shared" si="15"/>
        <v>0</v>
      </c>
      <c r="P28" s="60">
        <f t="shared" si="16"/>
        <v>0</v>
      </c>
      <c r="Q28" s="60">
        <f t="shared" si="17"/>
        <v>0</v>
      </c>
      <c r="R28" s="60">
        <f t="shared" si="7"/>
        <v>0</v>
      </c>
      <c r="S28" s="61">
        <f t="shared" si="12"/>
        <v>0</v>
      </c>
      <c r="T28" s="61">
        <f t="shared" si="8"/>
        <v>0</v>
      </c>
      <c r="U28" s="62">
        <f t="shared" si="9"/>
        <v>0</v>
      </c>
      <c r="V28" s="62">
        <f t="shared" si="10"/>
        <v>0</v>
      </c>
      <c r="W28" s="61">
        <f t="shared" si="11"/>
        <v>0</v>
      </c>
    </row>
    <row r="29" spans="1:23" ht="18" customHeight="1" x14ac:dyDescent="0.25">
      <c r="A29" s="55">
        <v>24</v>
      </c>
      <c r="B29" s="50"/>
      <c r="C29" s="56"/>
      <c r="D29" s="57"/>
      <c r="E29" s="57"/>
      <c r="F29" s="58"/>
      <c r="G29" s="59"/>
      <c r="H29" s="59"/>
      <c r="I29" s="68">
        <f t="shared" si="13"/>
        <v>0</v>
      </c>
      <c r="J29" s="60">
        <f t="shared" si="18"/>
        <v>0</v>
      </c>
      <c r="K29" s="60">
        <f>IF($E$3=2,'Riduzione terreni'!D36,0)</f>
        <v>0</v>
      </c>
      <c r="L29" s="61">
        <f t="shared" si="4"/>
        <v>0</v>
      </c>
      <c r="M29" s="61">
        <f t="shared" si="5"/>
        <v>0</v>
      </c>
      <c r="N29" s="60">
        <f t="shared" si="14"/>
        <v>0</v>
      </c>
      <c r="O29" s="60">
        <f t="shared" si="15"/>
        <v>0</v>
      </c>
      <c r="P29" s="60">
        <f t="shared" si="16"/>
        <v>0</v>
      </c>
      <c r="Q29" s="60">
        <f t="shared" si="17"/>
        <v>0</v>
      </c>
      <c r="R29" s="60">
        <f t="shared" si="7"/>
        <v>0</v>
      </c>
      <c r="S29" s="61">
        <f t="shared" si="12"/>
        <v>0</v>
      </c>
      <c r="T29" s="61">
        <f t="shared" si="8"/>
        <v>0</v>
      </c>
      <c r="U29" s="62">
        <f t="shared" si="9"/>
        <v>0</v>
      </c>
      <c r="V29" s="62">
        <f t="shared" si="10"/>
        <v>0</v>
      </c>
      <c r="W29" s="61">
        <f t="shared" si="11"/>
        <v>0</v>
      </c>
    </row>
    <row r="30" spans="1:23" ht="18" customHeight="1" x14ac:dyDescent="0.25">
      <c r="A30" s="55">
        <v>25</v>
      </c>
      <c r="B30" s="50"/>
      <c r="C30" s="56"/>
      <c r="D30" s="57"/>
      <c r="E30" s="57"/>
      <c r="F30" s="58"/>
      <c r="G30" s="59"/>
      <c r="H30" s="59"/>
      <c r="I30" s="68">
        <f t="shared" si="13"/>
        <v>0</v>
      </c>
      <c r="J30" s="60">
        <f t="shared" si="18"/>
        <v>0</v>
      </c>
      <c r="K30" s="60">
        <f>IF($E$3=2,'Riduzione terreni'!D37,0)</f>
        <v>0</v>
      </c>
      <c r="L30" s="61">
        <f t="shared" si="4"/>
        <v>0</v>
      </c>
      <c r="M30" s="61">
        <f t="shared" si="5"/>
        <v>0</v>
      </c>
      <c r="N30" s="60">
        <f t="shared" si="14"/>
        <v>0</v>
      </c>
      <c r="O30" s="60">
        <f t="shared" si="15"/>
        <v>0</v>
      </c>
      <c r="P30" s="60">
        <f t="shared" si="16"/>
        <v>0</v>
      </c>
      <c r="Q30" s="60">
        <f t="shared" si="17"/>
        <v>0</v>
      </c>
      <c r="R30" s="60">
        <f t="shared" si="7"/>
        <v>0</v>
      </c>
      <c r="S30" s="61">
        <f t="shared" si="12"/>
        <v>0</v>
      </c>
      <c r="T30" s="61">
        <f t="shared" si="8"/>
        <v>0</v>
      </c>
      <c r="U30" s="62">
        <f t="shared" si="9"/>
        <v>0</v>
      </c>
      <c r="V30" s="62">
        <f t="shared" si="10"/>
        <v>0</v>
      </c>
      <c r="W30" s="61">
        <f t="shared" si="11"/>
        <v>0</v>
      </c>
    </row>
    <row r="31" spans="1:23" ht="18" customHeight="1" x14ac:dyDescent="0.25">
      <c r="A31" s="64"/>
      <c r="B31" s="65" t="s">
        <v>10</v>
      </c>
      <c r="C31" s="65"/>
      <c r="D31" s="65"/>
      <c r="E31" s="65"/>
      <c r="F31" s="65"/>
      <c r="G31" s="65"/>
      <c r="H31" s="93"/>
      <c r="I31" s="69"/>
      <c r="J31" s="60">
        <f t="shared" ref="J31:S31" si="19">SUM(J6:J30)</f>
        <v>0</v>
      </c>
      <c r="K31" s="60">
        <f t="shared" si="19"/>
        <v>0</v>
      </c>
      <c r="L31" s="66">
        <f t="shared" si="19"/>
        <v>0</v>
      </c>
      <c r="M31" s="66">
        <f t="shared" si="19"/>
        <v>0</v>
      </c>
      <c r="N31" s="67">
        <f>SUM(N6:N30)</f>
        <v>0</v>
      </c>
      <c r="O31" s="67">
        <f>SUM(O6:O30)</f>
        <v>0</v>
      </c>
      <c r="P31" s="67">
        <f t="shared" si="19"/>
        <v>0</v>
      </c>
      <c r="Q31" s="67">
        <f>SUM(Q6:Q30)</f>
        <v>0</v>
      </c>
      <c r="R31" s="67">
        <f>SUM(R6:R30)</f>
        <v>0</v>
      </c>
      <c r="S31" s="66">
        <f t="shared" si="19"/>
        <v>0</v>
      </c>
      <c r="T31" s="66">
        <f>SUM(T6:T30)</f>
        <v>0</v>
      </c>
      <c r="U31" s="66">
        <f>SUM(U6:U30)</f>
        <v>0</v>
      </c>
      <c r="V31" s="66">
        <f>SUM(V6:V30)</f>
        <v>0</v>
      </c>
      <c r="W31" s="66">
        <f>SUM(W6:W30)</f>
        <v>0</v>
      </c>
    </row>
    <row r="32" spans="1:23" hidden="1" x14ac:dyDescent="0.25"/>
    <row r="33" spans="1:22" hidden="1" x14ac:dyDescent="0.25"/>
    <row r="34" spans="1:22" ht="17.25" hidden="1" customHeight="1" x14ac:dyDescent="0.25">
      <c r="A34" s="47" t="s">
        <v>44</v>
      </c>
      <c r="B34" s="48"/>
      <c r="C34" s="49"/>
      <c r="D34" s="49"/>
      <c r="E34" s="50">
        <f>E3</f>
        <v>1</v>
      </c>
    </row>
    <row r="35" spans="1:22" ht="18" hidden="1" customHeight="1" x14ac:dyDescent="0.25">
      <c r="A35" s="51" t="s">
        <v>3</v>
      </c>
      <c r="B35" s="51" t="s">
        <v>78</v>
      </c>
      <c r="C35" s="51" t="s">
        <v>89</v>
      </c>
      <c r="D35" s="51"/>
      <c r="E35" s="51" t="s">
        <v>88</v>
      </c>
      <c r="F35" s="51" t="s">
        <v>4</v>
      </c>
      <c r="G35" s="51"/>
      <c r="H35" s="51" t="s">
        <v>85</v>
      </c>
      <c r="L35" s="51" t="s">
        <v>17</v>
      </c>
      <c r="M35" s="51" t="s">
        <v>9</v>
      </c>
      <c r="U35" s="52" t="s">
        <v>71</v>
      </c>
      <c r="V35" s="52" t="s">
        <v>71</v>
      </c>
    </row>
    <row r="36" spans="1:22" ht="18" hidden="1" customHeight="1" x14ac:dyDescent="0.25">
      <c r="A36" s="53"/>
      <c r="B36" s="53" t="s">
        <v>77</v>
      </c>
      <c r="C36" s="53" t="s">
        <v>87</v>
      </c>
      <c r="D36" s="53"/>
      <c r="E36" s="53" t="s">
        <v>87</v>
      </c>
      <c r="F36" s="53" t="s">
        <v>5</v>
      </c>
      <c r="G36" s="53"/>
      <c r="H36" s="53" t="s">
        <v>86</v>
      </c>
      <c r="L36" s="53" t="s">
        <v>9</v>
      </c>
      <c r="M36" s="53" t="s">
        <v>20</v>
      </c>
      <c r="U36" s="54" t="s">
        <v>72</v>
      </c>
      <c r="V36" s="54" t="s">
        <v>73</v>
      </c>
    </row>
    <row r="37" spans="1:22" ht="18" hidden="1" customHeight="1" x14ac:dyDescent="0.25">
      <c r="A37" s="55">
        <v>1</v>
      </c>
      <c r="B37" s="112">
        <f>B6</f>
        <v>0</v>
      </c>
      <c r="C37" s="112">
        <f>C6</f>
        <v>0</v>
      </c>
      <c r="D37" s="112"/>
      <c r="E37" s="112">
        <f>E6</f>
        <v>0</v>
      </c>
      <c r="F37" s="112">
        <f>F6</f>
        <v>0</v>
      </c>
      <c r="G37" s="112"/>
      <c r="H37" s="113"/>
      <c r="L37" s="61">
        <f>L6</f>
        <v>0</v>
      </c>
      <c r="M37" s="61">
        <f>ROUND((L37*(0.76/100)*(E37/12)),2)</f>
        <v>0</v>
      </c>
      <c r="U37" s="62">
        <f>IF(M37&gt;0,1,0)</f>
        <v>0</v>
      </c>
      <c r="V37" s="62">
        <f>IF(S37&gt;0,1,0)</f>
        <v>0</v>
      </c>
    </row>
    <row r="38" spans="1:22" ht="18" hidden="1" customHeight="1" x14ac:dyDescent="0.25">
      <c r="A38" s="55">
        <v>2</v>
      </c>
      <c r="B38" s="112">
        <f t="shared" ref="B38:F61" si="20">B7</f>
        <v>0</v>
      </c>
      <c r="C38" s="112">
        <f t="shared" si="20"/>
        <v>0</v>
      </c>
      <c r="D38" s="112"/>
      <c r="E38" s="112">
        <f t="shared" si="20"/>
        <v>0</v>
      </c>
      <c r="F38" s="112">
        <f t="shared" si="20"/>
        <v>0</v>
      </c>
      <c r="G38" s="112"/>
      <c r="H38" s="113"/>
      <c r="L38" s="61">
        <f t="shared" ref="L38:L61" si="21">L7</f>
        <v>0</v>
      </c>
      <c r="M38" s="61">
        <f t="shared" ref="M38:M61" si="22">ROUND((L38*(0.76/100)*(E38/12)),2)</f>
        <v>0</v>
      </c>
      <c r="U38" s="62">
        <f t="shared" ref="U38:U61" si="23">IF(M38&gt;0,1,0)</f>
        <v>0</v>
      </c>
      <c r="V38" s="62">
        <f t="shared" ref="V38:V61" si="24">IF(S38&gt;0,1,0)</f>
        <v>0</v>
      </c>
    </row>
    <row r="39" spans="1:22" ht="18" hidden="1" customHeight="1" x14ac:dyDescent="0.25">
      <c r="A39" s="55">
        <v>3</v>
      </c>
      <c r="B39" s="112">
        <f t="shared" si="20"/>
        <v>0</v>
      </c>
      <c r="C39" s="112">
        <f t="shared" si="20"/>
        <v>0</v>
      </c>
      <c r="D39" s="112"/>
      <c r="E39" s="112">
        <f t="shared" si="20"/>
        <v>0</v>
      </c>
      <c r="F39" s="112">
        <f t="shared" si="20"/>
        <v>0</v>
      </c>
      <c r="G39" s="112"/>
      <c r="H39" s="113"/>
      <c r="L39" s="61">
        <f t="shared" si="21"/>
        <v>0</v>
      </c>
      <c r="M39" s="61">
        <f t="shared" si="22"/>
        <v>0</v>
      </c>
      <c r="U39" s="62">
        <f t="shared" si="23"/>
        <v>0</v>
      </c>
      <c r="V39" s="62">
        <f t="shared" si="24"/>
        <v>0</v>
      </c>
    </row>
    <row r="40" spans="1:22" ht="18" hidden="1" customHeight="1" x14ac:dyDescent="0.25">
      <c r="A40" s="55">
        <v>4</v>
      </c>
      <c r="B40" s="112">
        <f t="shared" si="20"/>
        <v>0</v>
      </c>
      <c r="C40" s="112">
        <f t="shared" si="20"/>
        <v>0</v>
      </c>
      <c r="D40" s="112"/>
      <c r="E40" s="112">
        <f t="shared" si="20"/>
        <v>0</v>
      </c>
      <c r="F40" s="112">
        <f t="shared" si="20"/>
        <v>0</v>
      </c>
      <c r="G40" s="112"/>
      <c r="H40" s="113"/>
      <c r="L40" s="61">
        <f t="shared" si="21"/>
        <v>0</v>
      </c>
      <c r="M40" s="61">
        <f t="shared" si="22"/>
        <v>0</v>
      </c>
      <c r="U40" s="62">
        <f t="shared" si="23"/>
        <v>0</v>
      </c>
      <c r="V40" s="62">
        <f t="shared" si="24"/>
        <v>0</v>
      </c>
    </row>
    <row r="41" spans="1:22" ht="18" hidden="1" customHeight="1" x14ac:dyDescent="0.25">
      <c r="A41" s="55">
        <v>5</v>
      </c>
      <c r="B41" s="112">
        <f t="shared" si="20"/>
        <v>0</v>
      </c>
      <c r="C41" s="112">
        <f t="shared" si="20"/>
        <v>0</v>
      </c>
      <c r="D41" s="112"/>
      <c r="E41" s="112">
        <f t="shared" si="20"/>
        <v>0</v>
      </c>
      <c r="F41" s="112">
        <f t="shared" si="20"/>
        <v>0</v>
      </c>
      <c r="G41" s="112"/>
      <c r="H41" s="113"/>
      <c r="L41" s="61">
        <f t="shared" si="21"/>
        <v>0</v>
      </c>
      <c r="M41" s="61">
        <f t="shared" si="22"/>
        <v>0</v>
      </c>
      <c r="U41" s="62">
        <f t="shared" si="23"/>
        <v>0</v>
      </c>
      <c r="V41" s="62">
        <f t="shared" si="24"/>
        <v>0</v>
      </c>
    </row>
    <row r="42" spans="1:22" ht="18" hidden="1" customHeight="1" x14ac:dyDescent="0.25">
      <c r="A42" s="55">
        <v>6</v>
      </c>
      <c r="B42" s="112">
        <f t="shared" si="20"/>
        <v>0</v>
      </c>
      <c r="C42" s="112">
        <f t="shared" si="20"/>
        <v>0</v>
      </c>
      <c r="D42" s="112"/>
      <c r="E42" s="112">
        <f t="shared" si="20"/>
        <v>0</v>
      </c>
      <c r="F42" s="112">
        <f t="shared" si="20"/>
        <v>0</v>
      </c>
      <c r="G42" s="112"/>
      <c r="H42" s="113"/>
      <c r="L42" s="61">
        <f t="shared" si="21"/>
        <v>0</v>
      </c>
      <c r="M42" s="61">
        <f t="shared" si="22"/>
        <v>0</v>
      </c>
      <c r="U42" s="62">
        <f t="shared" si="23"/>
        <v>0</v>
      </c>
      <c r="V42" s="62">
        <f t="shared" si="24"/>
        <v>0</v>
      </c>
    </row>
    <row r="43" spans="1:22" ht="18" hidden="1" customHeight="1" x14ac:dyDescent="0.25">
      <c r="A43" s="55">
        <v>7</v>
      </c>
      <c r="B43" s="112">
        <f t="shared" si="20"/>
        <v>0</v>
      </c>
      <c r="C43" s="112">
        <f t="shared" si="20"/>
        <v>0</v>
      </c>
      <c r="D43" s="112"/>
      <c r="E43" s="112">
        <f t="shared" si="20"/>
        <v>0</v>
      </c>
      <c r="F43" s="112">
        <f t="shared" si="20"/>
        <v>0</v>
      </c>
      <c r="G43" s="112"/>
      <c r="H43" s="113"/>
      <c r="L43" s="61">
        <f t="shared" si="21"/>
        <v>0</v>
      </c>
      <c r="M43" s="61">
        <f t="shared" si="22"/>
        <v>0</v>
      </c>
      <c r="U43" s="62">
        <f t="shared" si="23"/>
        <v>0</v>
      </c>
      <c r="V43" s="62">
        <f t="shared" si="24"/>
        <v>0</v>
      </c>
    </row>
    <row r="44" spans="1:22" ht="18" hidden="1" customHeight="1" x14ac:dyDescent="0.25">
      <c r="A44" s="55">
        <v>8</v>
      </c>
      <c r="B44" s="112">
        <f t="shared" si="20"/>
        <v>0</v>
      </c>
      <c r="C44" s="112">
        <f t="shared" si="20"/>
        <v>0</v>
      </c>
      <c r="D44" s="112"/>
      <c r="E44" s="112">
        <f t="shared" si="20"/>
        <v>0</v>
      </c>
      <c r="F44" s="112">
        <f t="shared" si="20"/>
        <v>0</v>
      </c>
      <c r="G44" s="112"/>
      <c r="H44" s="113"/>
      <c r="L44" s="61">
        <f t="shared" si="21"/>
        <v>0</v>
      </c>
      <c r="M44" s="61">
        <f t="shared" si="22"/>
        <v>0</v>
      </c>
      <c r="U44" s="62">
        <f t="shared" si="23"/>
        <v>0</v>
      </c>
      <c r="V44" s="62">
        <f t="shared" si="24"/>
        <v>0</v>
      </c>
    </row>
    <row r="45" spans="1:22" ht="18" hidden="1" customHeight="1" x14ac:dyDescent="0.25">
      <c r="A45" s="55">
        <v>9</v>
      </c>
      <c r="B45" s="112">
        <f t="shared" si="20"/>
        <v>0</v>
      </c>
      <c r="C45" s="112">
        <f t="shared" si="20"/>
        <v>0</v>
      </c>
      <c r="D45" s="112"/>
      <c r="E45" s="112">
        <f t="shared" si="20"/>
        <v>0</v>
      </c>
      <c r="F45" s="112">
        <f t="shared" si="20"/>
        <v>0</v>
      </c>
      <c r="G45" s="112"/>
      <c r="H45" s="113"/>
      <c r="L45" s="61">
        <f t="shared" si="21"/>
        <v>0</v>
      </c>
      <c r="M45" s="61">
        <f t="shared" si="22"/>
        <v>0</v>
      </c>
      <c r="U45" s="62">
        <f t="shared" si="23"/>
        <v>0</v>
      </c>
      <c r="V45" s="62">
        <f t="shared" si="24"/>
        <v>0</v>
      </c>
    </row>
    <row r="46" spans="1:22" ht="18" hidden="1" customHeight="1" x14ac:dyDescent="0.25">
      <c r="A46" s="63">
        <v>10</v>
      </c>
      <c r="B46" s="112">
        <f t="shared" si="20"/>
        <v>0</v>
      </c>
      <c r="C46" s="112">
        <f t="shared" si="20"/>
        <v>0</v>
      </c>
      <c r="D46" s="112"/>
      <c r="E46" s="112">
        <f t="shared" si="20"/>
        <v>0</v>
      </c>
      <c r="F46" s="112">
        <f t="shared" si="20"/>
        <v>0</v>
      </c>
      <c r="G46" s="112"/>
      <c r="H46" s="113"/>
      <c r="L46" s="61">
        <f t="shared" si="21"/>
        <v>0</v>
      </c>
      <c r="M46" s="61">
        <f t="shared" si="22"/>
        <v>0</v>
      </c>
      <c r="U46" s="62">
        <f t="shared" si="23"/>
        <v>0</v>
      </c>
      <c r="V46" s="62">
        <f t="shared" si="24"/>
        <v>0</v>
      </c>
    </row>
    <row r="47" spans="1:22" ht="18" hidden="1" customHeight="1" x14ac:dyDescent="0.25">
      <c r="A47" s="55">
        <v>11</v>
      </c>
      <c r="B47" s="112">
        <f t="shared" si="20"/>
        <v>0</v>
      </c>
      <c r="C47" s="112">
        <f t="shared" si="20"/>
        <v>0</v>
      </c>
      <c r="D47" s="112"/>
      <c r="E47" s="112">
        <f t="shared" si="20"/>
        <v>0</v>
      </c>
      <c r="F47" s="112">
        <f t="shared" si="20"/>
        <v>0</v>
      </c>
      <c r="G47" s="112"/>
      <c r="H47" s="113"/>
      <c r="L47" s="61">
        <f t="shared" si="21"/>
        <v>0</v>
      </c>
      <c r="M47" s="61">
        <f t="shared" si="22"/>
        <v>0</v>
      </c>
      <c r="U47" s="62">
        <f t="shared" si="23"/>
        <v>0</v>
      </c>
      <c r="V47" s="62">
        <f t="shared" si="24"/>
        <v>0</v>
      </c>
    </row>
    <row r="48" spans="1:22" ht="18" hidden="1" customHeight="1" x14ac:dyDescent="0.25">
      <c r="A48" s="55">
        <v>12</v>
      </c>
      <c r="B48" s="112">
        <f t="shared" si="20"/>
        <v>0</v>
      </c>
      <c r="C48" s="112">
        <f t="shared" si="20"/>
        <v>0</v>
      </c>
      <c r="D48" s="112"/>
      <c r="E48" s="112">
        <f t="shared" si="20"/>
        <v>0</v>
      </c>
      <c r="F48" s="112">
        <f t="shared" si="20"/>
        <v>0</v>
      </c>
      <c r="G48" s="112"/>
      <c r="H48" s="113"/>
      <c r="L48" s="61">
        <f t="shared" si="21"/>
        <v>0</v>
      </c>
      <c r="M48" s="61">
        <f t="shared" si="22"/>
        <v>0</v>
      </c>
      <c r="U48" s="62">
        <f t="shared" si="23"/>
        <v>0</v>
      </c>
      <c r="V48" s="62">
        <f t="shared" si="24"/>
        <v>0</v>
      </c>
    </row>
    <row r="49" spans="1:22" ht="18" hidden="1" customHeight="1" x14ac:dyDescent="0.25">
      <c r="A49" s="55">
        <v>13</v>
      </c>
      <c r="B49" s="112">
        <f t="shared" si="20"/>
        <v>0</v>
      </c>
      <c r="C49" s="112">
        <f t="shared" si="20"/>
        <v>0</v>
      </c>
      <c r="D49" s="112"/>
      <c r="E49" s="112">
        <f t="shared" si="20"/>
        <v>0</v>
      </c>
      <c r="F49" s="112">
        <f t="shared" si="20"/>
        <v>0</v>
      </c>
      <c r="G49" s="112"/>
      <c r="H49" s="113"/>
      <c r="L49" s="61">
        <f t="shared" si="21"/>
        <v>0</v>
      </c>
      <c r="M49" s="61">
        <f t="shared" si="22"/>
        <v>0</v>
      </c>
      <c r="U49" s="62">
        <f t="shared" si="23"/>
        <v>0</v>
      </c>
      <c r="V49" s="62">
        <f t="shared" si="24"/>
        <v>0</v>
      </c>
    </row>
    <row r="50" spans="1:22" ht="18" hidden="1" customHeight="1" x14ac:dyDescent="0.25">
      <c r="A50" s="63">
        <v>14</v>
      </c>
      <c r="B50" s="112">
        <f t="shared" si="20"/>
        <v>0</v>
      </c>
      <c r="C50" s="112">
        <f t="shared" si="20"/>
        <v>0</v>
      </c>
      <c r="D50" s="112"/>
      <c r="E50" s="112">
        <f t="shared" si="20"/>
        <v>0</v>
      </c>
      <c r="F50" s="112">
        <f t="shared" si="20"/>
        <v>0</v>
      </c>
      <c r="G50" s="112"/>
      <c r="H50" s="113"/>
      <c r="L50" s="61">
        <f t="shared" si="21"/>
        <v>0</v>
      </c>
      <c r="M50" s="61">
        <f t="shared" si="22"/>
        <v>0</v>
      </c>
      <c r="U50" s="62">
        <f t="shared" si="23"/>
        <v>0</v>
      </c>
      <c r="V50" s="62">
        <f t="shared" si="24"/>
        <v>0</v>
      </c>
    </row>
    <row r="51" spans="1:22" ht="18" hidden="1" customHeight="1" x14ac:dyDescent="0.25">
      <c r="A51" s="55">
        <v>15</v>
      </c>
      <c r="B51" s="112">
        <f t="shared" si="20"/>
        <v>0</v>
      </c>
      <c r="C51" s="112">
        <f t="shared" si="20"/>
        <v>0</v>
      </c>
      <c r="D51" s="112"/>
      <c r="E51" s="112">
        <f t="shared" si="20"/>
        <v>0</v>
      </c>
      <c r="F51" s="112">
        <f t="shared" si="20"/>
        <v>0</v>
      </c>
      <c r="G51" s="112"/>
      <c r="H51" s="113"/>
      <c r="L51" s="61">
        <f t="shared" si="21"/>
        <v>0</v>
      </c>
      <c r="M51" s="61">
        <f t="shared" si="22"/>
        <v>0</v>
      </c>
      <c r="U51" s="62">
        <f t="shared" si="23"/>
        <v>0</v>
      </c>
      <c r="V51" s="62">
        <f t="shared" si="24"/>
        <v>0</v>
      </c>
    </row>
    <row r="52" spans="1:22" ht="18" hidden="1" customHeight="1" x14ac:dyDescent="0.25">
      <c r="A52" s="55">
        <v>16</v>
      </c>
      <c r="B52" s="112">
        <f t="shared" si="20"/>
        <v>0</v>
      </c>
      <c r="C52" s="112">
        <f t="shared" si="20"/>
        <v>0</v>
      </c>
      <c r="D52" s="112"/>
      <c r="E52" s="112">
        <f t="shared" si="20"/>
        <v>0</v>
      </c>
      <c r="F52" s="112">
        <f t="shared" si="20"/>
        <v>0</v>
      </c>
      <c r="G52" s="112"/>
      <c r="H52" s="113"/>
      <c r="L52" s="61">
        <f t="shared" si="21"/>
        <v>0</v>
      </c>
      <c r="M52" s="61">
        <f t="shared" si="22"/>
        <v>0</v>
      </c>
      <c r="U52" s="62">
        <f t="shared" si="23"/>
        <v>0</v>
      </c>
      <c r="V52" s="62">
        <f t="shared" si="24"/>
        <v>0</v>
      </c>
    </row>
    <row r="53" spans="1:22" ht="18" hidden="1" customHeight="1" x14ac:dyDescent="0.25">
      <c r="A53" s="55">
        <v>17</v>
      </c>
      <c r="B53" s="112">
        <f t="shared" si="20"/>
        <v>0</v>
      </c>
      <c r="C53" s="112">
        <f t="shared" si="20"/>
        <v>0</v>
      </c>
      <c r="D53" s="112"/>
      <c r="E53" s="112">
        <f t="shared" si="20"/>
        <v>0</v>
      </c>
      <c r="F53" s="112">
        <f t="shared" si="20"/>
        <v>0</v>
      </c>
      <c r="G53" s="112"/>
      <c r="H53" s="113"/>
      <c r="L53" s="61">
        <f t="shared" si="21"/>
        <v>0</v>
      </c>
      <c r="M53" s="61">
        <f t="shared" si="22"/>
        <v>0</v>
      </c>
      <c r="U53" s="62">
        <f t="shared" si="23"/>
        <v>0</v>
      </c>
      <c r="V53" s="62">
        <f t="shared" si="24"/>
        <v>0</v>
      </c>
    </row>
    <row r="54" spans="1:22" ht="18" hidden="1" customHeight="1" x14ac:dyDescent="0.25">
      <c r="A54" s="63">
        <v>18</v>
      </c>
      <c r="B54" s="112">
        <f t="shared" si="20"/>
        <v>0</v>
      </c>
      <c r="C54" s="112">
        <f t="shared" si="20"/>
        <v>0</v>
      </c>
      <c r="D54" s="112"/>
      <c r="E54" s="112">
        <f t="shared" si="20"/>
        <v>0</v>
      </c>
      <c r="F54" s="112">
        <f t="shared" si="20"/>
        <v>0</v>
      </c>
      <c r="G54" s="112"/>
      <c r="H54" s="113"/>
      <c r="L54" s="61">
        <f t="shared" si="21"/>
        <v>0</v>
      </c>
      <c r="M54" s="61">
        <f t="shared" si="22"/>
        <v>0</v>
      </c>
      <c r="U54" s="62">
        <f t="shared" si="23"/>
        <v>0</v>
      </c>
      <c r="V54" s="62">
        <f t="shared" si="24"/>
        <v>0</v>
      </c>
    </row>
    <row r="55" spans="1:22" ht="18" hidden="1" customHeight="1" x14ac:dyDescent="0.25">
      <c r="A55" s="55">
        <v>19</v>
      </c>
      <c r="B55" s="112">
        <f t="shared" si="20"/>
        <v>0</v>
      </c>
      <c r="C55" s="112">
        <f t="shared" si="20"/>
        <v>0</v>
      </c>
      <c r="D55" s="112"/>
      <c r="E55" s="112">
        <f t="shared" si="20"/>
        <v>0</v>
      </c>
      <c r="F55" s="112">
        <f t="shared" si="20"/>
        <v>0</v>
      </c>
      <c r="G55" s="112"/>
      <c r="H55" s="113"/>
      <c r="L55" s="61">
        <f t="shared" si="21"/>
        <v>0</v>
      </c>
      <c r="M55" s="61">
        <f t="shared" si="22"/>
        <v>0</v>
      </c>
      <c r="U55" s="62">
        <f t="shared" si="23"/>
        <v>0</v>
      </c>
      <c r="V55" s="62">
        <f t="shared" si="24"/>
        <v>0</v>
      </c>
    </row>
    <row r="56" spans="1:22" ht="18" hidden="1" customHeight="1" x14ac:dyDescent="0.25">
      <c r="A56" s="55">
        <v>20</v>
      </c>
      <c r="B56" s="112">
        <f t="shared" si="20"/>
        <v>0</v>
      </c>
      <c r="C56" s="112">
        <f t="shared" si="20"/>
        <v>0</v>
      </c>
      <c r="D56" s="112"/>
      <c r="E56" s="112">
        <f t="shared" si="20"/>
        <v>0</v>
      </c>
      <c r="F56" s="112">
        <f t="shared" si="20"/>
        <v>0</v>
      </c>
      <c r="G56" s="112"/>
      <c r="H56" s="113"/>
      <c r="L56" s="61">
        <f t="shared" si="21"/>
        <v>0</v>
      </c>
      <c r="M56" s="61">
        <f t="shared" si="22"/>
        <v>0</v>
      </c>
      <c r="U56" s="62">
        <f t="shared" si="23"/>
        <v>0</v>
      </c>
      <c r="V56" s="62">
        <f t="shared" si="24"/>
        <v>0</v>
      </c>
    </row>
    <row r="57" spans="1:22" ht="18" hidden="1" customHeight="1" x14ac:dyDescent="0.25">
      <c r="A57" s="55">
        <v>21</v>
      </c>
      <c r="B57" s="112">
        <f t="shared" si="20"/>
        <v>0</v>
      </c>
      <c r="C57" s="112">
        <f t="shared" si="20"/>
        <v>0</v>
      </c>
      <c r="D57" s="112"/>
      <c r="E57" s="112">
        <f t="shared" si="20"/>
        <v>0</v>
      </c>
      <c r="F57" s="112">
        <f t="shared" si="20"/>
        <v>0</v>
      </c>
      <c r="G57" s="112"/>
      <c r="H57" s="113"/>
      <c r="L57" s="61">
        <f t="shared" si="21"/>
        <v>0</v>
      </c>
      <c r="M57" s="61">
        <f t="shared" si="22"/>
        <v>0</v>
      </c>
      <c r="U57" s="62">
        <f t="shared" si="23"/>
        <v>0</v>
      </c>
      <c r="V57" s="62">
        <f t="shared" si="24"/>
        <v>0</v>
      </c>
    </row>
    <row r="58" spans="1:22" ht="18" hidden="1" customHeight="1" x14ac:dyDescent="0.25">
      <c r="A58" s="55">
        <v>22</v>
      </c>
      <c r="B58" s="112">
        <f t="shared" si="20"/>
        <v>0</v>
      </c>
      <c r="C58" s="112">
        <f t="shared" si="20"/>
        <v>0</v>
      </c>
      <c r="D58" s="112"/>
      <c r="E58" s="112">
        <f t="shared" si="20"/>
        <v>0</v>
      </c>
      <c r="F58" s="112">
        <f t="shared" si="20"/>
        <v>0</v>
      </c>
      <c r="G58" s="112"/>
      <c r="H58" s="113"/>
      <c r="L58" s="61">
        <f t="shared" si="21"/>
        <v>0</v>
      </c>
      <c r="M58" s="61">
        <f t="shared" si="22"/>
        <v>0</v>
      </c>
      <c r="U58" s="62">
        <f t="shared" si="23"/>
        <v>0</v>
      </c>
      <c r="V58" s="62">
        <f t="shared" si="24"/>
        <v>0</v>
      </c>
    </row>
    <row r="59" spans="1:22" ht="18" hidden="1" customHeight="1" x14ac:dyDescent="0.25">
      <c r="A59" s="55">
        <v>23</v>
      </c>
      <c r="B59" s="112">
        <f t="shared" si="20"/>
        <v>0</v>
      </c>
      <c r="C59" s="112">
        <f t="shared" si="20"/>
        <v>0</v>
      </c>
      <c r="D59" s="112"/>
      <c r="E59" s="112">
        <f t="shared" si="20"/>
        <v>0</v>
      </c>
      <c r="F59" s="112">
        <f t="shared" si="20"/>
        <v>0</v>
      </c>
      <c r="G59" s="112"/>
      <c r="H59" s="113"/>
      <c r="L59" s="61">
        <f t="shared" si="21"/>
        <v>0</v>
      </c>
      <c r="M59" s="61">
        <f t="shared" si="22"/>
        <v>0</v>
      </c>
      <c r="U59" s="62">
        <f t="shared" si="23"/>
        <v>0</v>
      </c>
      <c r="V59" s="62">
        <f t="shared" si="24"/>
        <v>0</v>
      </c>
    </row>
    <row r="60" spans="1:22" ht="18" hidden="1" customHeight="1" x14ac:dyDescent="0.25">
      <c r="A60" s="55">
        <v>24</v>
      </c>
      <c r="B60" s="112">
        <f t="shared" si="20"/>
        <v>0</v>
      </c>
      <c r="C60" s="112">
        <f t="shared" si="20"/>
        <v>0</v>
      </c>
      <c r="D60" s="112"/>
      <c r="E60" s="112">
        <f t="shared" si="20"/>
        <v>0</v>
      </c>
      <c r="F60" s="112">
        <f t="shared" si="20"/>
        <v>0</v>
      </c>
      <c r="G60" s="112"/>
      <c r="H60" s="113"/>
      <c r="L60" s="61">
        <f t="shared" si="21"/>
        <v>0</v>
      </c>
      <c r="M60" s="61">
        <f t="shared" si="22"/>
        <v>0</v>
      </c>
      <c r="U60" s="62">
        <f t="shared" si="23"/>
        <v>0</v>
      </c>
      <c r="V60" s="62">
        <f t="shared" si="24"/>
        <v>0</v>
      </c>
    </row>
    <row r="61" spans="1:22" ht="18" hidden="1" customHeight="1" x14ac:dyDescent="0.25">
      <c r="A61" s="55">
        <v>25</v>
      </c>
      <c r="B61" s="112">
        <f t="shared" si="20"/>
        <v>0</v>
      </c>
      <c r="C61" s="112">
        <f t="shared" si="20"/>
        <v>0</v>
      </c>
      <c r="D61" s="112"/>
      <c r="E61" s="112">
        <f t="shared" si="20"/>
        <v>0</v>
      </c>
      <c r="F61" s="112">
        <f t="shared" si="20"/>
        <v>0</v>
      </c>
      <c r="G61" s="112"/>
      <c r="H61" s="113"/>
      <c r="L61" s="61">
        <f t="shared" si="21"/>
        <v>0</v>
      </c>
      <c r="M61" s="61">
        <f t="shared" si="22"/>
        <v>0</v>
      </c>
      <c r="U61" s="62">
        <f t="shared" si="23"/>
        <v>0</v>
      </c>
      <c r="V61" s="62">
        <f t="shared" si="24"/>
        <v>0</v>
      </c>
    </row>
    <row r="62" spans="1:22" ht="18" hidden="1" customHeight="1" x14ac:dyDescent="0.25">
      <c r="A62" s="64"/>
      <c r="B62" s="65" t="s">
        <v>10</v>
      </c>
      <c r="C62" s="65"/>
      <c r="D62" s="65"/>
      <c r="E62" s="65"/>
      <c r="F62" s="65"/>
      <c r="G62" s="65"/>
      <c r="H62" s="93"/>
      <c r="L62" s="66">
        <f>SUM(L37:L61)</f>
        <v>0</v>
      </c>
      <c r="M62" s="66">
        <f>SUM(M37:M61)</f>
        <v>0</v>
      </c>
      <c r="U62" s="62">
        <f>SUM(U37:U61)</f>
        <v>0</v>
      </c>
      <c r="V62" s="62">
        <f>SUM(V37:V61)</f>
        <v>0</v>
      </c>
    </row>
    <row r="64" spans="1:22" hidden="1" x14ac:dyDescent="0.25">
      <c r="B64" s="46" t="s">
        <v>109</v>
      </c>
    </row>
    <row r="65" spans="2:4" hidden="1" x14ac:dyDescent="0.25">
      <c r="B65" s="55" t="s">
        <v>112</v>
      </c>
      <c r="C65" s="61">
        <f>W31</f>
        <v>0</v>
      </c>
      <c r="D65" s="89"/>
    </row>
    <row r="66" spans="2:4" hidden="1" x14ac:dyDescent="0.25">
      <c r="B66" s="115" t="s">
        <v>108</v>
      </c>
      <c r="C66" s="66">
        <f>C65*0.4</f>
        <v>0</v>
      </c>
      <c r="D66" s="130"/>
    </row>
  </sheetData>
  <sheetProtection password="D08A" sheet="1"/>
  <dataValidations count="6">
    <dataValidation type="decimal" allowBlank="1" showInputMessage="1" showErrorMessage="1" errorTitle="Attenzione" error="Inserire un valore tra 0,00 e 100,00" prompt="Inserire un valore tra 0,00 e 100,00" sqref="C6:C30" xr:uid="{6D1F2637-4689-4724-A136-680858EC9ACF}">
      <formula1>0</formula1>
      <formula2>100</formula2>
    </dataValidation>
    <dataValidation allowBlank="1" showInputMessage="1" showErrorMessage="1" prompt="Inserire il reddito dominicale senza alcuna rivalutazione" sqref="F6:F30" xr:uid="{44AD1C40-58FF-46B9-8362-4FF89F14793A}"/>
    <dataValidation allowBlank="1" showInputMessage="1" showErrorMessage="1" prompt="Inserire l'aliquota deliberata nell'anno precedente (dato utile ai fini del calcolo della prima rata)" sqref="G6:G30" xr:uid="{DE8C0D4F-FB7D-4A4D-8504-B751584C4ACC}"/>
    <dataValidation allowBlank="1" showInputMessage="1" showErrorMessage="1" prompt="Inserire l'aliquota deliberata nell'anno (se pubblicata nel sito del MEF entro il 28/10). In caso contrario, inserire l'aliquota dell'anno precedente." sqref="H6:H30" xr:uid="{DDBA9214-9F34-4F12-8449-D1EE70BE8E1E}"/>
    <dataValidation type="whole" allowBlank="1" showInputMessage="1" showErrorMessage="1" errorTitle="Attenzione" error="Inserire un valore tra 0 e 12" prompt="Inserire un valore tra 0 e 6" sqref="E6:E30" xr:uid="{11EB3102-5332-476C-A4CA-3A2BAE17CE2F}">
      <formula1>0</formula1>
      <formula2>6</formula2>
    </dataValidation>
    <dataValidation type="decimal" allowBlank="1" showInputMessage="1" showErrorMessage="1" errorTitle="Attenzione" error="Inserire un valore tra 0,00 e 100,00" prompt="Inserire un valore tra 0 e 6" sqref="D6:D30" xr:uid="{58F53951-2ADF-4755-B07F-BD1C8B81100A}">
      <formula1>0</formula1>
      <formula2>6</formula2>
    </dataValidation>
  </dataValidations>
  <printOptions horizontalCentered="1"/>
  <pageMargins left="0.23622047244094491" right="0.23622047244094491" top="0.19685039370078741" bottom="0.19685039370078741" header="0.19685039370078741" footer="0.19685039370078741"/>
  <pageSetup paperSize="9" orientation="landscape" r:id="rId1"/>
  <headerFooter>
    <oddFooter>&amp;LCalcolo IMU&amp;RTerreni Agricoli</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Vai_home">
                <anchor moveWithCells="1" sizeWithCells="1">
                  <from>
                    <xdr:col>0</xdr:col>
                    <xdr:colOff>411480</xdr:colOff>
                    <xdr:row>0</xdr:row>
                    <xdr:rowOff>60960</xdr:rowOff>
                  </from>
                  <to>
                    <xdr:col>1</xdr:col>
                    <xdr:colOff>1043940</xdr:colOff>
                    <xdr:row>0</xdr:row>
                    <xdr:rowOff>457200</xdr:rowOff>
                  </to>
                </anchor>
              </controlPr>
            </control>
          </mc:Choice>
        </mc:AlternateContent>
        <mc:AlternateContent xmlns:mc="http://schemas.openxmlformats.org/markup-compatibility/2006">
          <mc:Choice Requires="x14">
            <control shapeId="2050" r:id="rId5" name="Button 2">
              <controlPr defaultSize="0" print="0" autoFill="0" autoLine="0" autoPict="0" macro="[0]!Vai_Rurali">
                <anchor moveWithCells="1" sizeWithCells="1">
                  <from>
                    <xdr:col>1</xdr:col>
                    <xdr:colOff>1196340</xdr:colOff>
                    <xdr:row>0</xdr:row>
                    <xdr:rowOff>60960</xdr:rowOff>
                  </from>
                  <to>
                    <xdr:col>2</xdr:col>
                    <xdr:colOff>586740</xdr:colOff>
                    <xdr:row>0</xdr:row>
                    <xdr:rowOff>457200</xdr:rowOff>
                  </to>
                </anchor>
              </controlPr>
            </control>
          </mc:Choice>
        </mc:AlternateContent>
        <mc:AlternateContent xmlns:mc="http://schemas.openxmlformats.org/markup-compatibility/2006">
          <mc:Choice Requires="x14">
            <control shapeId="2051" r:id="rId6" name="Button 3">
              <controlPr defaultSize="0" print="0" autoFill="0" autoLine="0" autoPict="0" macro="[0]!Vai_altri_fabb">
                <anchor moveWithCells="1" sizeWithCells="1">
                  <from>
                    <xdr:col>5</xdr:col>
                    <xdr:colOff>274320</xdr:colOff>
                    <xdr:row>0</xdr:row>
                    <xdr:rowOff>68580</xdr:rowOff>
                  </from>
                  <to>
                    <xdr:col>7</xdr:col>
                    <xdr:colOff>0</xdr:colOff>
                    <xdr:row>0</xdr:row>
                    <xdr:rowOff>472440</xdr:rowOff>
                  </to>
                </anchor>
              </controlPr>
            </control>
          </mc:Choice>
        </mc:AlternateContent>
        <mc:AlternateContent xmlns:mc="http://schemas.openxmlformats.org/markup-compatibility/2006">
          <mc:Choice Requires="x14">
            <control shapeId="2052" r:id="rId7" name="Button 4">
              <controlPr defaultSize="0" print="0" autoFill="0" autoLine="0" autoPict="0" macro="[0]!Vai_aree">
                <anchor moveWithCells="1" sizeWithCells="1">
                  <from>
                    <xdr:col>7</xdr:col>
                    <xdr:colOff>205740</xdr:colOff>
                    <xdr:row>0</xdr:row>
                    <xdr:rowOff>68580</xdr:rowOff>
                  </from>
                  <to>
                    <xdr:col>11</xdr:col>
                    <xdr:colOff>739140</xdr:colOff>
                    <xdr:row>0</xdr:row>
                    <xdr:rowOff>472440</xdr:rowOff>
                  </to>
                </anchor>
              </controlPr>
            </control>
          </mc:Choice>
        </mc:AlternateContent>
        <mc:AlternateContent xmlns:mc="http://schemas.openxmlformats.org/markup-compatibility/2006">
          <mc:Choice Requires="x14">
            <control shapeId="2053" r:id="rId8" name="Button 5">
              <controlPr defaultSize="0" print="0" autoFill="0" autoLine="0" autoPict="0" macro="[0]!Vai_riepilogo">
                <anchor moveWithCells="1" sizeWithCells="1">
                  <from>
                    <xdr:col>11</xdr:col>
                    <xdr:colOff>853440</xdr:colOff>
                    <xdr:row>0</xdr:row>
                    <xdr:rowOff>68580</xdr:rowOff>
                  </from>
                  <to>
                    <xdr:col>18</xdr:col>
                    <xdr:colOff>68580</xdr:colOff>
                    <xdr:row>0</xdr:row>
                    <xdr:rowOff>472440</xdr:rowOff>
                  </to>
                </anchor>
              </controlPr>
            </control>
          </mc:Choice>
        </mc:AlternateContent>
        <mc:AlternateContent xmlns:mc="http://schemas.openxmlformats.org/markup-compatibility/2006">
          <mc:Choice Requires="x14">
            <control shapeId="2054" r:id="rId9" name="Button 6">
              <controlPr defaultSize="0" print="0" autoFill="0" autoLine="0" autoPict="0" macro="[0]!Vai_ab_princ">
                <anchor moveWithCells="1" sizeWithCells="1">
                  <from>
                    <xdr:col>3</xdr:col>
                    <xdr:colOff>190500</xdr:colOff>
                    <xdr:row>0</xdr:row>
                    <xdr:rowOff>68580</xdr:rowOff>
                  </from>
                  <to>
                    <xdr:col>5</xdr:col>
                    <xdr:colOff>83820</xdr:colOff>
                    <xdr:row>0</xdr:row>
                    <xdr:rowOff>472440</xdr:rowOff>
                  </to>
                </anchor>
              </controlPr>
            </control>
          </mc:Choice>
        </mc:AlternateContent>
        <mc:AlternateContent xmlns:mc="http://schemas.openxmlformats.org/markup-compatibility/2006">
          <mc:Choice Requires="x14">
            <control shapeId="2058" r:id="rId10" name="Button 10">
              <controlPr defaultSize="0" print="0" autoFill="0" autoLine="0" autoPict="0" macro="[0]!Azzera_terreni">
                <anchor moveWithCells="1" sizeWithCells="1">
                  <from>
                    <xdr:col>18</xdr:col>
                    <xdr:colOff>205740</xdr:colOff>
                    <xdr:row>0</xdr:row>
                    <xdr:rowOff>68580</xdr:rowOff>
                  </from>
                  <to>
                    <xdr:col>19</xdr:col>
                    <xdr:colOff>434340</xdr:colOff>
                    <xdr:row>0</xdr:row>
                    <xdr:rowOff>472440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7514B-5D33-4B1F-82DC-7EA7408038FB}">
  <sheetPr codeName="Foglio3"/>
  <dimension ref="A1:Q34"/>
  <sheetViews>
    <sheetView showGridLines="0" showRowColHeaders="0" showZeros="0" workbookViewId="0">
      <pane ySplit="4" topLeftCell="A5" activePane="bottomLeft" state="frozen"/>
      <selection pane="bottomLeft" activeCell="B5" sqref="B5"/>
    </sheetView>
  </sheetViews>
  <sheetFormatPr defaultColWidth="9.21875" defaultRowHeight="13.2" x14ac:dyDescent="0.25"/>
  <cols>
    <col min="1" max="1" width="6.77734375" style="45" customWidth="1"/>
    <col min="2" max="2" width="25" style="45" customWidth="1"/>
    <col min="3" max="5" width="8.77734375" style="45" customWidth="1"/>
    <col min="6" max="6" width="11.77734375" style="45" customWidth="1"/>
    <col min="7" max="7" width="8.77734375" style="45" customWidth="1"/>
    <col min="8" max="8" width="8.5546875" style="45" customWidth="1"/>
    <col min="9" max="9" width="12.44140625" style="45" customWidth="1"/>
    <col min="10" max="10" width="14.77734375" style="45" customWidth="1"/>
    <col min="11" max="11" width="10.109375" style="45" customWidth="1"/>
    <col min="12" max="12" width="10.109375" style="45" hidden="1" customWidth="1"/>
    <col min="13" max="14" width="10.109375" style="45" customWidth="1"/>
    <col min="15" max="16" width="14.21875" style="45" hidden="1" customWidth="1"/>
    <col min="17" max="17" width="10.5546875" style="45" hidden="1" customWidth="1"/>
    <col min="18" max="16384" width="9.21875" style="45"/>
  </cols>
  <sheetData>
    <row r="1" spans="1:17" ht="39" customHeight="1" x14ac:dyDescent="0.25"/>
    <row r="2" spans="1:17" ht="30" customHeight="1" x14ac:dyDescent="0.25">
      <c r="A2" s="46" t="str">
        <f>CONCATENATE("FABBRICATI RURALI STRUMENTALI", " - Contribuente: ", Home!D8)</f>
        <v xml:space="preserve">FABBRICATI RURALI STRUMENTALI - Contribuente: </v>
      </c>
    </row>
    <row r="3" spans="1:17" ht="18" customHeight="1" x14ac:dyDescent="0.25">
      <c r="A3" s="51" t="s">
        <v>3</v>
      </c>
      <c r="B3" s="51" t="s">
        <v>78</v>
      </c>
      <c r="C3" s="104" t="s">
        <v>89</v>
      </c>
      <c r="D3" s="132" t="s">
        <v>88</v>
      </c>
      <c r="E3" s="133" t="s">
        <v>87</v>
      </c>
      <c r="F3" s="106" t="s">
        <v>23</v>
      </c>
      <c r="G3" s="104" t="s">
        <v>113</v>
      </c>
      <c r="H3" s="104" t="s">
        <v>85</v>
      </c>
      <c r="I3" s="51" t="s">
        <v>6</v>
      </c>
      <c r="J3" s="106" t="s">
        <v>8</v>
      </c>
      <c r="K3" s="51" t="s">
        <v>120</v>
      </c>
      <c r="L3" s="52" t="s">
        <v>19</v>
      </c>
      <c r="M3" s="51" t="s">
        <v>9</v>
      </c>
      <c r="N3" s="51" t="s">
        <v>10</v>
      </c>
      <c r="O3" s="52" t="s">
        <v>71</v>
      </c>
      <c r="P3" s="52" t="s">
        <v>71</v>
      </c>
      <c r="Q3" s="51" t="s">
        <v>111</v>
      </c>
    </row>
    <row r="4" spans="1:17" ht="18" customHeight="1" x14ac:dyDescent="0.25">
      <c r="A4" s="53"/>
      <c r="B4" s="53" t="s">
        <v>77</v>
      </c>
      <c r="C4" s="53" t="s">
        <v>87</v>
      </c>
      <c r="D4" s="53" t="s">
        <v>148</v>
      </c>
      <c r="E4" s="53" t="s">
        <v>149</v>
      </c>
      <c r="F4" s="53" t="s">
        <v>24</v>
      </c>
      <c r="G4" s="105" t="s">
        <v>126</v>
      </c>
      <c r="H4" s="105" t="s">
        <v>130</v>
      </c>
      <c r="I4" s="53" t="s">
        <v>7</v>
      </c>
      <c r="J4" s="107" t="s">
        <v>9</v>
      </c>
      <c r="K4" s="53" t="s">
        <v>98</v>
      </c>
      <c r="L4" s="54" t="s">
        <v>46</v>
      </c>
      <c r="M4" s="53" t="s">
        <v>125</v>
      </c>
      <c r="N4" s="53" t="s">
        <v>9</v>
      </c>
      <c r="O4" s="54" t="s">
        <v>72</v>
      </c>
      <c r="P4" s="54" t="s">
        <v>73</v>
      </c>
      <c r="Q4" s="53" t="s">
        <v>110</v>
      </c>
    </row>
    <row r="5" spans="1:17" ht="18" customHeight="1" x14ac:dyDescent="0.25">
      <c r="A5" s="55">
        <v>1</v>
      </c>
      <c r="B5" s="50"/>
      <c r="C5" s="56"/>
      <c r="D5" s="57"/>
      <c r="E5" s="57"/>
      <c r="F5" s="58"/>
      <c r="G5" s="58"/>
      <c r="H5" s="58"/>
      <c r="I5" s="127"/>
      <c r="J5" s="61">
        <f>ROUND(IF(F5=0,0,(F5*C5/100)*1.05*I5),2)</f>
        <v>0</v>
      </c>
      <c r="K5" s="61">
        <f>ROUND((J5*(G5/100)*(D5/12)),2)</f>
        <v>0</v>
      </c>
      <c r="L5" s="60">
        <f>IF(J5&gt;0,ROUND(J5*H5/100*((D5+E5)/12),2),0)</f>
        <v>0</v>
      </c>
      <c r="M5" s="61">
        <f t="shared" ref="M5:M14" si="0">ROUND(IF(L5-K5&gt;0,L5-K5,0),2)</f>
        <v>0</v>
      </c>
      <c r="N5" s="61">
        <f>K5+M5</f>
        <v>0</v>
      </c>
      <c r="O5" s="62">
        <f t="shared" ref="O5:O14" si="1">IF(K5&gt;0,1,0)</f>
        <v>0</v>
      </c>
      <c r="P5" s="62">
        <f>IF(M5&gt;0,1,0)</f>
        <v>0</v>
      </c>
      <c r="Q5" s="61">
        <f>IF(H5&gt;0.2,N5-M20,0)</f>
        <v>0</v>
      </c>
    </row>
    <row r="6" spans="1:17" ht="18" customHeight="1" x14ac:dyDescent="0.25">
      <c r="A6" s="55">
        <v>2</v>
      </c>
      <c r="B6" s="50"/>
      <c r="C6" s="56"/>
      <c r="D6" s="57"/>
      <c r="E6" s="57"/>
      <c r="F6" s="58"/>
      <c r="G6" s="58"/>
      <c r="H6" s="58"/>
      <c r="I6" s="127"/>
      <c r="J6" s="61">
        <f t="shared" ref="J6:J14" si="2">ROUND(IF(F6=0,0,(F6*C6/100)*1.05*I6),2)</f>
        <v>0</v>
      </c>
      <c r="K6" s="61">
        <f t="shared" ref="K6:K14" si="3">ROUND((J6*(G6/100)*(D6/12)),2)</f>
        <v>0</v>
      </c>
      <c r="L6" s="60">
        <f t="shared" ref="L6:L14" si="4">IF(J6&gt;0,ROUND(J6*H6/100*((D6+E6)/12),2),0)</f>
        <v>0</v>
      </c>
      <c r="M6" s="61">
        <f t="shared" si="0"/>
        <v>0</v>
      </c>
      <c r="N6" s="61">
        <f t="shared" ref="N6:N14" si="5">K6+M6</f>
        <v>0</v>
      </c>
      <c r="O6" s="62">
        <f t="shared" si="1"/>
        <v>0</v>
      </c>
      <c r="P6" s="62">
        <f t="shared" ref="P6:P14" si="6">IF(M6&gt;0,1,0)</f>
        <v>0</v>
      </c>
      <c r="Q6" s="61">
        <f t="shared" ref="Q6:Q14" si="7">IF(H6&gt;0.2,N6-M21,0)</f>
        <v>0</v>
      </c>
    </row>
    <row r="7" spans="1:17" ht="18" customHeight="1" x14ac:dyDescent="0.25">
      <c r="A7" s="55">
        <v>3</v>
      </c>
      <c r="B7" s="50"/>
      <c r="C7" s="56"/>
      <c r="D7" s="57"/>
      <c r="E7" s="57"/>
      <c r="F7" s="58"/>
      <c r="G7" s="58"/>
      <c r="H7" s="58"/>
      <c r="I7" s="127"/>
      <c r="J7" s="61">
        <f t="shared" si="2"/>
        <v>0</v>
      </c>
      <c r="K7" s="61">
        <f t="shared" si="3"/>
        <v>0</v>
      </c>
      <c r="L7" s="60">
        <f t="shared" si="4"/>
        <v>0</v>
      </c>
      <c r="M7" s="61">
        <f t="shared" si="0"/>
        <v>0</v>
      </c>
      <c r="N7" s="61">
        <f t="shared" si="5"/>
        <v>0</v>
      </c>
      <c r="O7" s="62">
        <f t="shared" si="1"/>
        <v>0</v>
      </c>
      <c r="P7" s="62">
        <f t="shared" si="6"/>
        <v>0</v>
      </c>
      <c r="Q7" s="61">
        <f t="shared" si="7"/>
        <v>0</v>
      </c>
    </row>
    <row r="8" spans="1:17" ht="18" customHeight="1" x14ac:dyDescent="0.25">
      <c r="A8" s="55">
        <v>4</v>
      </c>
      <c r="B8" s="50"/>
      <c r="C8" s="56"/>
      <c r="D8" s="57"/>
      <c r="E8" s="57"/>
      <c r="F8" s="58"/>
      <c r="G8" s="58"/>
      <c r="H8" s="58"/>
      <c r="I8" s="127"/>
      <c r="J8" s="61">
        <f t="shared" si="2"/>
        <v>0</v>
      </c>
      <c r="K8" s="61">
        <f t="shared" si="3"/>
        <v>0</v>
      </c>
      <c r="L8" s="60">
        <f t="shared" si="4"/>
        <v>0</v>
      </c>
      <c r="M8" s="61">
        <f t="shared" si="0"/>
        <v>0</v>
      </c>
      <c r="N8" s="61">
        <f t="shared" si="5"/>
        <v>0</v>
      </c>
      <c r="O8" s="62">
        <f t="shared" si="1"/>
        <v>0</v>
      </c>
      <c r="P8" s="62">
        <f t="shared" si="6"/>
        <v>0</v>
      </c>
      <c r="Q8" s="61">
        <f t="shared" si="7"/>
        <v>0</v>
      </c>
    </row>
    <row r="9" spans="1:17" ht="18" customHeight="1" x14ac:dyDescent="0.25">
      <c r="A9" s="55">
        <v>5</v>
      </c>
      <c r="B9" s="50"/>
      <c r="C9" s="56"/>
      <c r="D9" s="57"/>
      <c r="E9" s="57"/>
      <c r="F9" s="58"/>
      <c r="G9" s="58"/>
      <c r="H9" s="58"/>
      <c r="I9" s="127"/>
      <c r="J9" s="61">
        <f t="shared" si="2"/>
        <v>0</v>
      </c>
      <c r="K9" s="61">
        <f t="shared" si="3"/>
        <v>0</v>
      </c>
      <c r="L9" s="60">
        <f t="shared" si="4"/>
        <v>0</v>
      </c>
      <c r="M9" s="61">
        <f t="shared" si="0"/>
        <v>0</v>
      </c>
      <c r="N9" s="61">
        <f t="shared" si="5"/>
        <v>0</v>
      </c>
      <c r="O9" s="62">
        <f t="shared" si="1"/>
        <v>0</v>
      </c>
      <c r="P9" s="62">
        <f t="shared" si="6"/>
        <v>0</v>
      </c>
      <c r="Q9" s="61">
        <f t="shared" si="7"/>
        <v>0</v>
      </c>
    </row>
    <row r="10" spans="1:17" ht="18" customHeight="1" x14ac:dyDescent="0.25">
      <c r="A10" s="55">
        <v>6</v>
      </c>
      <c r="B10" s="50"/>
      <c r="C10" s="56"/>
      <c r="D10" s="57"/>
      <c r="E10" s="57"/>
      <c r="F10" s="58"/>
      <c r="G10" s="58"/>
      <c r="H10" s="58"/>
      <c r="I10" s="127"/>
      <c r="J10" s="61">
        <f t="shared" si="2"/>
        <v>0</v>
      </c>
      <c r="K10" s="61">
        <f t="shared" si="3"/>
        <v>0</v>
      </c>
      <c r="L10" s="60">
        <f t="shared" si="4"/>
        <v>0</v>
      </c>
      <c r="M10" s="61">
        <f t="shared" si="0"/>
        <v>0</v>
      </c>
      <c r="N10" s="61">
        <f t="shared" si="5"/>
        <v>0</v>
      </c>
      <c r="O10" s="62">
        <f t="shared" si="1"/>
        <v>0</v>
      </c>
      <c r="P10" s="62">
        <f t="shared" si="6"/>
        <v>0</v>
      </c>
      <c r="Q10" s="61">
        <f t="shared" si="7"/>
        <v>0</v>
      </c>
    </row>
    <row r="11" spans="1:17" ht="18" customHeight="1" x14ac:dyDescent="0.25">
      <c r="A11" s="55">
        <v>7</v>
      </c>
      <c r="B11" s="50"/>
      <c r="C11" s="56"/>
      <c r="D11" s="57"/>
      <c r="E11" s="57"/>
      <c r="F11" s="58"/>
      <c r="G11" s="58"/>
      <c r="H11" s="58"/>
      <c r="I11" s="127"/>
      <c r="J11" s="61">
        <f t="shared" si="2"/>
        <v>0</v>
      </c>
      <c r="K11" s="61">
        <f t="shared" si="3"/>
        <v>0</v>
      </c>
      <c r="L11" s="60">
        <f t="shared" si="4"/>
        <v>0</v>
      </c>
      <c r="M11" s="61">
        <f t="shared" si="0"/>
        <v>0</v>
      </c>
      <c r="N11" s="61">
        <f t="shared" si="5"/>
        <v>0</v>
      </c>
      <c r="O11" s="62">
        <f t="shared" si="1"/>
        <v>0</v>
      </c>
      <c r="P11" s="62">
        <f t="shared" si="6"/>
        <v>0</v>
      </c>
      <c r="Q11" s="61">
        <f t="shared" si="7"/>
        <v>0</v>
      </c>
    </row>
    <row r="12" spans="1:17" ht="18" customHeight="1" x14ac:dyDescent="0.25">
      <c r="A12" s="55">
        <v>8</v>
      </c>
      <c r="B12" s="50"/>
      <c r="C12" s="56"/>
      <c r="D12" s="57"/>
      <c r="E12" s="57"/>
      <c r="F12" s="58"/>
      <c r="G12" s="58"/>
      <c r="H12" s="58"/>
      <c r="I12" s="127"/>
      <c r="J12" s="61">
        <f t="shared" si="2"/>
        <v>0</v>
      </c>
      <c r="K12" s="61">
        <f t="shared" si="3"/>
        <v>0</v>
      </c>
      <c r="L12" s="60">
        <f t="shared" si="4"/>
        <v>0</v>
      </c>
      <c r="M12" s="61">
        <f t="shared" si="0"/>
        <v>0</v>
      </c>
      <c r="N12" s="61">
        <f t="shared" si="5"/>
        <v>0</v>
      </c>
      <c r="O12" s="62">
        <f t="shared" si="1"/>
        <v>0</v>
      </c>
      <c r="P12" s="62">
        <f t="shared" si="6"/>
        <v>0</v>
      </c>
      <c r="Q12" s="61">
        <f t="shared" si="7"/>
        <v>0</v>
      </c>
    </row>
    <row r="13" spans="1:17" ht="18" customHeight="1" x14ac:dyDescent="0.25">
      <c r="A13" s="55">
        <v>9</v>
      </c>
      <c r="B13" s="50"/>
      <c r="C13" s="56"/>
      <c r="D13" s="57"/>
      <c r="E13" s="57"/>
      <c r="F13" s="58"/>
      <c r="G13" s="58"/>
      <c r="H13" s="58"/>
      <c r="I13" s="127"/>
      <c r="J13" s="61">
        <f t="shared" si="2"/>
        <v>0</v>
      </c>
      <c r="K13" s="61">
        <f t="shared" si="3"/>
        <v>0</v>
      </c>
      <c r="L13" s="60">
        <f t="shared" si="4"/>
        <v>0</v>
      </c>
      <c r="M13" s="61">
        <f t="shared" si="0"/>
        <v>0</v>
      </c>
      <c r="N13" s="61">
        <f t="shared" si="5"/>
        <v>0</v>
      </c>
      <c r="O13" s="62">
        <f t="shared" si="1"/>
        <v>0</v>
      </c>
      <c r="P13" s="62">
        <f t="shared" si="6"/>
        <v>0</v>
      </c>
      <c r="Q13" s="61">
        <f t="shared" si="7"/>
        <v>0</v>
      </c>
    </row>
    <row r="14" spans="1:17" ht="18" customHeight="1" x14ac:dyDescent="0.25">
      <c r="A14" s="55">
        <v>10</v>
      </c>
      <c r="B14" s="50"/>
      <c r="C14" s="56"/>
      <c r="D14" s="57"/>
      <c r="E14" s="57"/>
      <c r="F14" s="58"/>
      <c r="G14" s="58"/>
      <c r="H14" s="58"/>
      <c r="I14" s="127"/>
      <c r="J14" s="61">
        <f t="shared" si="2"/>
        <v>0</v>
      </c>
      <c r="K14" s="61">
        <f t="shared" si="3"/>
        <v>0</v>
      </c>
      <c r="L14" s="60">
        <f t="shared" si="4"/>
        <v>0</v>
      </c>
      <c r="M14" s="61">
        <f t="shared" si="0"/>
        <v>0</v>
      </c>
      <c r="N14" s="61">
        <f t="shared" si="5"/>
        <v>0</v>
      </c>
      <c r="O14" s="62">
        <f t="shared" si="1"/>
        <v>0</v>
      </c>
      <c r="P14" s="62">
        <f t="shared" si="6"/>
        <v>0</v>
      </c>
      <c r="Q14" s="61">
        <f t="shared" si="7"/>
        <v>0</v>
      </c>
    </row>
    <row r="15" spans="1:17" ht="18" customHeight="1" x14ac:dyDescent="0.25">
      <c r="A15" s="64"/>
      <c r="B15" s="65" t="s">
        <v>10</v>
      </c>
      <c r="C15" s="65"/>
      <c r="D15" s="65"/>
      <c r="E15" s="65"/>
      <c r="F15" s="65"/>
      <c r="G15" s="65"/>
      <c r="H15" s="65"/>
      <c r="I15" s="65"/>
      <c r="J15" s="66">
        <f t="shared" ref="J15:Q15" si="8">SUM(J5:J14)</f>
        <v>0</v>
      </c>
      <c r="K15" s="71">
        <f t="shared" si="8"/>
        <v>0</v>
      </c>
      <c r="L15" s="71">
        <f t="shared" si="8"/>
        <v>0</v>
      </c>
      <c r="M15" s="71">
        <f t="shared" si="8"/>
        <v>0</v>
      </c>
      <c r="N15" s="71">
        <f t="shared" si="8"/>
        <v>0</v>
      </c>
      <c r="O15" s="71">
        <f t="shared" si="8"/>
        <v>0</v>
      </c>
      <c r="P15" s="71">
        <f t="shared" si="8"/>
        <v>0</v>
      </c>
      <c r="Q15" s="71">
        <f t="shared" si="8"/>
        <v>0</v>
      </c>
    </row>
    <row r="17" spans="1:13" hidden="1" x14ac:dyDescent="0.25"/>
    <row r="18" spans="1:13" hidden="1" x14ac:dyDescent="0.25">
      <c r="A18" s="51" t="s">
        <v>3</v>
      </c>
      <c r="B18" s="51" t="s">
        <v>78</v>
      </c>
      <c r="C18" s="51" t="s">
        <v>89</v>
      </c>
      <c r="D18" s="51"/>
      <c r="E18" s="51" t="s">
        <v>88</v>
      </c>
      <c r="F18" s="51" t="s">
        <v>23</v>
      </c>
      <c r="G18" s="104"/>
      <c r="H18" s="104" t="s">
        <v>85</v>
      </c>
      <c r="I18" s="51" t="s">
        <v>6</v>
      </c>
      <c r="J18" s="106" t="s">
        <v>8</v>
      </c>
      <c r="L18" s="52"/>
      <c r="M18" s="51" t="s">
        <v>9</v>
      </c>
    </row>
    <row r="19" spans="1:13" hidden="1" x14ac:dyDescent="0.25">
      <c r="A19" s="53"/>
      <c r="B19" s="53" t="s">
        <v>77</v>
      </c>
      <c r="C19" s="53" t="s">
        <v>87</v>
      </c>
      <c r="D19" s="53"/>
      <c r="E19" s="53" t="s">
        <v>87</v>
      </c>
      <c r="F19" s="53" t="s">
        <v>24</v>
      </c>
      <c r="G19" s="105"/>
      <c r="H19" s="105" t="s">
        <v>86</v>
      </c>
      <c r="I19" s="53" t="s">
        <v>7</v>
      </c>
      <c r="J19" s="107" t="s">
        <v>9</v>
      </c>
      <c r="L19" s="54"/>
      <c r="M19" s="53" t="s">
        <v>62</v>
      </c>
    </row>
    <row r="20" spans="1:13" hidden="1" x14ac:dyDescent="0.25">
      <c r="A20" s="55">
        <v>1</v>
      </c>
      <c r="B20" s="112">
        <f>B5</f>
        <v>0</v>
      </c>
      <c r="C20" s="116">
        <f>C5</f>
        <v>0</v>
      </c>
      <c r="D20" s="116"/>
      <c r="E20" s="112">
        <f>E5</f>
        <v>0</v>
      </c>
      <c r="F20" s="112">
        <f>F5</f>
        <v>0</v>
      </c>
      <c r="G20" s="112"/>
      <c r="H20" s="113"/>
      <c r="I20" s="114"/>
      <c r="J20" s="61">
        <f>J5</f>
        <v>0</v>
      </c>
      <c r="L20" s="60"/>
      <c r="M20" s="61">
        <f>ROUND((J20*(0.2/100)*(E20/12)),2)</f>
        <v>0</v>
      </c>
    </row>
    <row r="21" spans="1:13" hidden="1" x14ac:dyDescent="0.25">
      <c r="A21" s="55">
        <v>2</v>
      </c>
      <c r="B21" s="112">
        <f t="shared" ref="B21:F29" si="9">B6</f>
        <v>0</v>
      </c>
      <c r="C21" s="112">
        <f t="shared" si="9"/>
        <v>0</v>
      </c>
      <c r="D21" s="112"/>
      <c r="E21" s="112">
        <f t="shared" si="9"/>
        <v>0</v>
      </c>
      <c r="F21" s="112">
        <f t="shared" si="9"/>
        <v>0</v>
      </c>
      <c r="G21" s="112"/>
      <c r="H21" s="113"/>
      <c r="I21" s="114"/>
      <c r="J21" s="61">
        <f t="shared" ref="J21:J29" si="10">J6</f>
        <v>0</v>
      </c>
      <c r="L21" s="60"/>
      <c r="M21" s="61">
        <f t="shared" ref="M21:M29" si="11">ROUND((J21*(0.2/100)*(E21/12)),2)</f>
        <v>0</v>
      </c>
    </row>
    <row r="22" spans="1:13" hidden="1" x14ac:dyDescent="0.25">
      <c r="A22" s="55">
        <v>3</v>
      </c>
      <c r="B22" s="112">
        <f t="shared" si="9"/>
        <v>0</v>
      </c>
      <c r="C22" s="112">
        <f t="shared" si="9"/>
        <v>0</v>
      </c>
      <c r="D22" s="112"/>
      <c r="E22" s="112">
        <f t="shared" si="9"/>
        <v>0</v>
      </c>
      <c r="F22" s="112">
        <f t="shared" si="9"/>
        <v>0</v>
      </c>
      <c r="G22" s="112"/>
      <c r="H22" s="113"/>
      <c r="I22" s="114"/>
      <c r="J22" s="61">
        <f t="shared" si="10"/>
        <v>0</v>
      </c>
      <c r="L22" s="60"/>
      <c r="M22" s="61">
        <f t="shared" si="11"/>
        <v>0</v>
      </c>
    </row>
    <row r="23" spans="1:13" hidden="1" x14ac:dyDescent="0.25">
      <c r="A23" s="55">
        <v>4</v>
      </c>
      <c r="B23" s="112">
        <f t="shared" si="9"/>
        <v>0</v>
      </c>
      <c r="C23" s="112">
        <f t="shared" si="9"/>
        <v>0</v>
      </c>
      <c r="D23" s="112"/>
      <c r="E23" s="112">
        <f t="shared" si="9"/>
        <v>0</v>
      </c>
      <c r="F23" s="112">
        <f t="shared" si="9"/>
        <v>0</v>
      </c>
      <c r="G23" s="112"/>
      <c r="H23" s="113"/>
      <c r="I23" s="114"/>
      <c r="J23" s="61">
        <f t="shared" si="10"/>
        <v>0</v>
      </c>
      <c r="L23" s="60"/>
      <c r="M23" s="61">
        <f t="shared" si="11"/>
        <v>0</v>
      </c>
    </row>
    <row r="24" spans="1:13" hidden="1" x14ac:dyDescent="0.25">
      <c r="A24" s="55">
        <v>5</v>
      </c>
      <c r="B24" s="112">
        <f t="shared" si="9"/>
        <v>0</v>
      </c>
      <c r="C24" s="112">
        <f t="shared" si="9"/>
        <v>0</v>
      </c>
      <c r="D24" s="112"/>
      <c r="E24" s="112">
        <f t="shared" si="9"/>
        <v>0</v>
      </c>
      <c r="F24" s="112">
        <f t="shared" si="9"/>
        <v>0</v>
      </c>
      <c r="G24" s="112"/>
      <c r="H24" s="113"/>
      <c r="I24" s="114"/>
      <c r="J24" s="61">
        <f t="shared" si="10"/>
        <v>0</v>
      </c>
      <c r="L24" s="60"/>
      <c r="M24" s="61">
        <f t="shared" si="11"/>
        <v>0</v>
      </c>
    </row>
    <row r="25" spans="1:13" hidden="1" x14ac:dyDescent="0.25">
      <c r="A25" s="55">
        <v>6</v>
      </c>
      <c r="B25" s="112">
        <f t="shared" si="9"/>
        <v>0</v>
      </c>
      <c r="C25" s="112">
        <f t="shared" si="9"/>
        <v>0</v>
      </c>
      <c r="D25" s="112"/>
      <c r="E25" s="112">
        <f t="shared" si="9"/>
        <v>0</v>
      </c>
      <c r="F25" s="112">
        <f t="shared" si="9"/>
        <v>0</v>
      </c>
      <c r="G25" s="112"/>
      <c r="H25" s="113"/>
      <c r="I25" s="114"/>
      <c r="J25" s="61">
        <f t="shared" si="10"/>
        <v>0</v>
      </c>
      <c r="L25" s="60"/>
      <c r="M25" s="61">
        <f t="shared" si="11"/>
        <v>0</v>
      </c>
    </row>
    <row r="26" spans="1:13" hidden="1" x14ac:dyDescent="0.25">
      <c r="A26" s="55">
        <v>7</v>
      </c>
      <c r="B26" s="112">
        <f t="shared" si="9"/>
        <v>0</v>
      </c>
      <c r="C26" s="112">
        <f t="shared" si="9"/>
        <v>0</v>
      </c>
      <c r="D26" s="112"/>
      <c r="E26" s="112">
        <f t="shared" si="9"/>
        <v>0</v>
      </c>
      <c r="F26" s="112">
        <f t="shared" si="9"/>
        <v>0</v>
      </c>
      <c r="G26" s="112"/>
      <c r="H26" s="113"/>
      <c r="I26" s="114"/>
      <c r="J26" s="61">
        <f t="shared" si="10"/>
        <v>0</v>
      </c>
      <c r="L26" s="60"/>
      <c r="M26" s="61">
        <f t="shared" si="11"/>
        <v>0</v>
      </c>
    </row>
    <row r="27" spans="1:13" hidden="1" x14ac:dyDescent="0.25">
      <c r="A27" s="55">
        <v>8</v>
      </c>
      <c r="B27" s="112">
        <f t="shared" si="9"/>
        <v>0</v>
      </c>
      <c r="C27" s="112">
        <f t="shared" si="9"/>
        <v>0</v>
      </c>
      <c r="D27" s="112"/>
      <c r="E27" s="112">
        <f t="shared" si="9"/>
        <v>0</v>
      </c>
      <c r="F27" s="112">
        <f t="shared" si="9"/>
        <v>0</v>
      </c>
      <c r="G27" s="112"/>
      <c r="H27" s="113"/>
      <c r="I27" s="114"/>
      <c r="J27" s="61">
        <f t="shared" si="10"/>
        <v>0</v>
      </c>
      <c r="L27" s="60"/>
      <c r="M27" s="61">
        <f t="shared" si="11"/>
        <v>0</v>
      </c>
    </row>
    <row r="28" spans="1:13" hidden="1" x14ac:dyDescent="0.25">
      <c r="A28" s="55">
        <v>9</v>
      </c>
      <c r="B28" s="112">
        <f t="shared" si="9"/>
        <v>0</v>
      </c>
      <c r="C28" s="112">
        <f t="shared" si="9"/>
        <v>0</v>
      </c>
      <c r="D28" s="112"/>
      <c r="E28" s="112">
        <f t="shared" si="9"/>
        <v>0</v>
      </c>
      <c r="F28" s="112">
        <f t="shared" si="9"/>
        <v>0</v>
      </c>
      <c r="G28" s="112"/>
      <c r="H28" s="113"/>
      <c r="I28" s="114"/>
      <c r="J28" s="61">
        <f t="shared" si="10"/>
        <v>0</v>
      </c>
      <c r="L28" s="60"/>
      <c r="M28" s="61">
        <f t="shared" si="11"/>
        <v>0</v>
      </c>
    </row>
    <row r="29" spans="1:13" hidden="1" x14ac:dyDescent="0.25">
      <c r="A29" s="55">
        <v>10</v>
      </c>
      <c r="B29" s="112">
        <f t="shared" si="9"/>
        <v>0</v>
      </c>
      <c r="C29" s="112">
        <f t="shared" si="9"/>
        <v>0</v>
      </c>
      <c r="D29" s="112"/>
      <c r="E29" s="112">
        <f t="shared" si="9"/>
        <v>0</v>
      </c>
      <c r="F29" s="112">
        <f t="shared" si="9"/>
        <v>0</v>
      </c>
      <c r="G29" s="112"/>
      <c r="H29" s="113"/>
      <c r="I29" s="114"/>
      <c r="J29" s="61">
        <f t="shared" si="10"/>
        <v>0</v>
      </c>
      <c r="L29" s="60"/>
      <c r="M29" s="61">
        <f t="shared" si="11"/>
        <v>0</v>
      </c>
    </row>
    <row r="30" spans="1:13" hidden="1" x14ac:dyDescent="0.25">
      <c r="A30" s="64"/>
      <c r="B30" s="65" t="s">
        <v>10</v>
      </c>
      <c r="C30" s="65"/>
      <c r="D30" s="65"/>
      <c r="E30" s="65"/>
      <c r="F30" s="65"/>
      <c r="G30" s="65"/>
      <c r="H30" s="65"/>
      <c r="I30" s="65"/>
      <c r="J30" s="66">
        <f>SUM(J20:J29)</f>
        <v>0</v>
      </c>
      <c r="L30" s="71"/>
      <c r="M30" s="61">
        <f>SUM(M20:M29)</f>
        <v>0</v>
      </c>
    </row>
    <row r="31" spans="1:13" hidden="1" x14ac:dyDescent="0.25"/>
    <row r="32" spans="1:13" hidden="1" x14ac:dyDescent="0.25">
      <c r="B32" s="46" t="s">
        <v>109</v>
      </c>
    </row>
    <row r="33" spans="2:4" hidden="1" x14ac:dyDescent="0.25">
      <c r="B33" s="55" t="s">
        <v>112</v>
      </c>
      <c r="C33" s="61">
        <f>Q15</f>
        <v>0</v>
      </c>
      <c r="D33" s="89"/>
    </row>
    <row r="34" spans="2:4" hidden="1" x14ac:dyDescent="0.25">
      <c r="B34" s="115" t="s">
        <v>108</v>
      </c>
      <c r="C34" s="66">
        <f>C33*0.4</f>
        <v>0</v>
      </c>
      <c r="D34" s="130"/>
    </row>
  </sheetData>
  <sheetProtection password="D08A" sheet="1"/>
  <dataValidations count="8">
    <dataValidation type="decimal" allowBlank="1" showInputMessage="1" showErrorMessage="1" errorTitle="Attenzione" error="Inserire un valore tra 0,00 e 100,00" prompt="Inserire un valore tra 0,00 e 100,00" sqref="C5:C14" xr:uid="{F05F684B-6FCF-4730-AB00-9AC1C821B668}">
      <formula1>0</formula1>
      <formula2>100</formula2>
    </dataValidation>
    <dataValidation allowBlank="1" showInputMessage="1" showErrorMessage="1" prompt="Inserire la rendita catastale senza alcuna rivalutazione" sqref="F5:F14" xr:uid="{CF3C9EEF-3396-4EC4-9414-8B51B2A01F76}"/>
    <dataValidation allowBlank="1" showInputMessage="1" showErrorMessage="1" prompt="Inserire l'aliquota deliberata dal Comune (dato utile a calcolare il saldo). In caso di mancata delibera mettere l'aliquota base (0,20)" sqref="H20:H29" xr:uid="{C9DE39BE-2399-4475-805C-CE059F41F3AF}"/>
    <dataValidation allowBlank="1" showInputMessage="1" showErrorMessage="1" prompt="Inserire il coefficiente di rivalutazione tra 160, 148, 80, 65 o 55 a seconda della categoria catastale_x000a_" sqref="I5:I14" xr:uid="{C70DF94A-696D-40A0-9E69-9CA1ED221EA3}"/>
    <dataValidation allowBlank="1" showInputMessage="1" showErrorMessage="1" prompt="Inserire l'aliquota deliberata nell'anno precedente (dato utile ai fini del calcolo della prima rata)" sqref="G5:G14" xr:uid="{9CF0865E-C6C2-421B-AF65-08768EA346EE}"/>
    <dataValidation allowBlank="1" showInputMessage="1" showErrorMessage="1" prompt="Inserire l'aliquota deliberata nell'anno (se pubblicata nel sito del MEF entro il 28/10). In caso contrario, inserire l'aliquota dell'anno precedente." sqref="H5:H14" xr:uid="{DED19A36-5324-4BF2-9BFA-73410D6BD3CE}"/>
    <dataValidation type="whole" allowBlank="1" showInputMessage="1" showErrorMessage="1" errorTitle="Attenzione" error="Inserire un valore tra 0 e 12" prompt="Inserire un valore tra 0 e 6" sqref="E5:E14" xr:uid="{57C61D28-CCA7-4282-A5E1-6BC42D49530D}">
      <formula1>0</formula1>
      <formula2>6</formula2>
    </dataValidation>
    <dataValidation type="decimal" allowBlank="1" showInputMessage="1" showErrorMessage="1" errorTitle="Attenzione" error="Inserire un valore tra 0,00 e 100,00" prompt="Inserire un valore tra 0 e 6" sqref="D5:D14" xr:uid="{30F64F29-0F56-4C84-935C-7FD553E19E03}">
      <formula1>0</formula1>
      <formula2>6</formula2>
    </dataValidation>
  </dataValidations>
  <printOptions horizontalCentered="1"/>
  <pageMargins left="0" right="0" top="0.19685039370078741" bottom="0.19685039370078741" header="0.19685039370078741" footer="0.19685039370078741"/>
  <pageSetup paperSize="9" orientation="landscape" horizontalDpi="0" verticalDpi="0" r:id="rId1"/>
  <headerFooter>
    <oddFooter>&amp;LCalcolo IMU&amp;RFabbricati rurali</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Line="0" autoPict="0" macro="[0]!Vai_home">
                <anchor moveWithCells="1" sizeWithCells="1">
                  <from>
                    <xdr:col>1</xdr:col>
                    <xdr:colOff>15240</xdr:colOff>
                    <xdr:row>0</xdr:row>
                    <xdr:rowOff>60960</xdr:rowOff>
                  </from>
                  <to>
                    <xdr:col>1</xdr:col>
                    <xdr:colOff>1112520</xdr:colOff>
                    <xdr:row>0</xdr:row>
                    <xdr:rowOff>464820</xdr:rowOff>
                  </to>
                </anchor>
              </controlPr>
            </control>
          </mc:Choice>
        </mc:AlternateContent>
        <mc:AlternateContent xmlns:mc="http://schemas.openxmlformats.org/markup-compatibility/2006">
          <mc:Choice Requires="x14">
            <control shapeId="7170" r:id="rId5" name="Button 2">
              <controlPr defaultSize="0" print="0" autoFill="0" autoLine="0" autoPict="0" macro="[0]!Vai_terreni">
                <anchor moveWithCells="1" sizeWithCells="1">
                  <from>
                    <xdr:col>1</xdr:col>
                    <xdr:colOff>1264920</xdr:colOff>
                    <xdr:row>0</xdr:row>
                    <xdr:rowOff>60960</xdr:rowOff>
                  </from>
                  <to>
                    <xdr:col>3</xdr:col>
                    <xdr:colOff>83820</xdr:colOff>
                    <xdr:row>0</xdr:row>
                    <xdr:rowOff>457200</xdr:rowOff>
                  </to>
                </anchor>
              </controlPr>
            </control>
          </mc:Choice>
        </mc:AlternateContent>
        <mc:AlternateContent xmlns:mc="http://schemas.openxmlformats.org/markup-compatibility/2006">
          <mc:Choice Requires="x14">
            <control shapeId="7171" r:id="rId6" name="Button 3">
              <controlPr defaultSize="0" print="0" autoFill="0" autoLine="0" autoPict="0" macro="[0]!Vai_altri_fabb">
                <anchor moveWithCells="1" sizeWithCells="1">
                  <from>
                    <xdr:col>5</xdr:col>
                    <xdr:colOff>327660</xdr:colOff>
                    <xdr:row>0</xdr:row>
                    <xdr:rowOff>60960</xdr:rowOff>
                  </from>
                  <to>
                    <xdr:col>7</xdr:col>
                    <xdr:colOff>15240</xdr:colOff>
                    <xdr:row>0</xdr:row>
                    <xdr:rowOff>464820</xdr:rowOff>
                  </to>
                </anchor>
              </controlPr>
            </control>
          </mc:Choice>
        </mc:AlternateContent>
        <mc:AlternateContent xmlns:mc="http://schemas.openxmlformats.org/markup-compatibility/2006">
          <mc:Choice Requires="x14">
            <control shapeId="7172" r:id="rId7" name="Button 4">
              <controlPr defaultSize="0" print="0" autoFill="0" autoLine="0" autoPict="0" macro="[0]!Vai_aree">
                <anchor moveWithCells="1" sizeWithCells="1">
                  <from>
                    <xdr:col>7</xdr:col>
                    <xdr:colOff>175260</xdr:colOff>
                    <xdr:row>0</xdr:row>
                    <xdr:rowOff>60960</xdr:rowOff>
                  </from>
                  <to>
                    <xdr:col>8</xdr:col>
                    <xdr:colOff>685800</xdr:colOff>
                    <xdr:row>0</xdr:row>
                    <xdr:rowOff>464820</xdr:rowOff>
                  </to>
                </anchor>
              </controlPr>
            </control>
          </mc:Choice>
        </mc:AlternateContent>
        <mc:AlternateContent xmlns:mc="http://schemas.openxmlformats.org/markup-compatibility/2006">
          <mc:Choice Requires="x14">
            <control shapeId="7173" r:id="rId8" name="Button 5">
              <controlPr defaultSize="0" print="0" autoFill="0" autoLine="0" autoPict="0" macro="[0]!Vai_riepilogo">
                <anchor moveWithCells="1" sizeWithCells="1">
                  <from>
                    <xdr:col>8</xdr:col>
                    <xdr:colOff>838200</xdr:colOff>
                    <xdr:row>0</xdr:row>
                    <xdr:rowOff>60960</xdr:rowOff>
                  </from>
                  <to>
                    <xdr:col>10</xdr:col>
                    <xdr:colOff>83820</xdr:colOff>
                    <xdr:row>0</xdr:row>
                    <xdr:rowOff>464820</xdr:rowOff>
                  </to>
                </anchor>
              </controlPr>
            </control>
          </mc:Choice>
        </mc:AlternateContent>
        <mc:AlternateContent xmlns:mc="http://schemas.openxmlformats.org/markup-compatibility/2006">
          <mc:Choice Requires="x14">
            <control shapeId="7174" r:id="rId9" name="Button 6">
              <controlPr defaultSize="0" print="0" autoFill="0" autoLine="0" autoPict="0" macro="[0]!Vai_ab_princ">
                <anchor moveWithCells="1" sizeWithCells="1">
                  <from>
                    <xdr:col>3</xdr:col>
                    <xdr:colOff>274320</xdr:colOff>
                    <xdr:row>0</xdr:row>
                    <xdr:rowOff>60960</xdr:rowOff>
                  </from>
                  <to>
                    <xdr:col>5</xdr:col>
                    <xdr:colOff>175260</xdr:colOff>
                    <xdr:row>0</xdr:row>
                    <xdr:rowOff>464820</xdr:rowOff>
                  </to>
                </anchor>
              </controlPr>
            </control>
          </mc:Choice>
        </mc:AlternateContent>
        <mc:AlternateContent xmlns:mc="http://schemas.openxmlformats.org/markup-compatibility/2006">
          <mc:Choice Requires="x14">
            <control shapeId="7177" r:id="rId10" name="Button 9">
              <controlPr defaultSize="0" print="0" autoFill="0" autoLine="0" autoPict="0" macro="[0]!Azzera_rurali">
                <anchor moveWithCells="1" sizeWithCells="1">
                  <from>
                    <xdr:col>10</xdr:col>
                    <xdr:colOff>190500</xdr:colOff>
                    <xdr:row>0</xdr:row>
                    <xdr:rowOff>60960</xdr:rowOff>
                  </from>
                  <to>
                    <xdr:col>12</xdr:col>
                    <xdr:colOff>419100</xdr:colOff>
                    <xdr:row>0</xdr:row>
                    <xdr:rowOff>464820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379F4-6461-43E9-95AF-628129C9D4C9}">
  <sheetPr codeName="Foglio4"/>
  <dimension ref="A1:S47"/>
  <sheetViews>
    <sheetView showGridLines="0" showRowColHeaders="0" showZeros="0" workbookViewId="0">
      <pane ySplit="12" topLeftCell="A13" activePane="bottomLeft" state="frozen"/>
      <selection pane="bottomLeft" activeCell="C4" sqref="C4"/>
    </sheetView>
  </sheetViews>
  <sheetFormatPr defaultColWidth="9.21875" defaultRowHeight="13.2" x14ac:dyDescent="0.25"/>
  <cols>
    <col min="1" max="1" width="15.5546875" style="45" customWidth="1"/>
    <col min="2" max="2" width="19" style="45" customWidth="1"/>
    <col min="3" max="3" width="11.5546875" style="45" customWidth="1"/>
    <col min="4" max="4" width="10.21875" style="45" customWidth="1"/>
    <col min="5" max="6" width="6.21875" style="45" customWidth="1"/>
    <col min="7" max="9" width="10.21875" style="45" customWidth="1"/>
    <col min="10" max="10" width="10.21875" style="45" hidden="1" customWidth="1"/>
    <col min="11" max="11" width="10.21875" style="45" customWidth="1"/>
    <col min="12" max="12" width="12.5546875" style="45" customWidth="1"/>
    <col min="13" max="13" width="12.5546875" style="45" hidden="1" customWidth="1"/>
    <col min="14" max="14" width="15.77734375" style="45" hidden="1" customWidth="1"/>
    <col min="15" max="15" width="11.21875" style="45" customWidth="1"/>
    <col min="16" max="16" width="10.77734375" style="45" customWidth="1"/>
    <col min="17" max="19" width="15.77734375" style="45" hidden="1" customWidth="1"/>
    <col min="20" max="16384" width="9.21875" style="45"/>
  </cols>
  <sheetData>
    <row r="1" spans="1:19" ht="39" customHeight="1" x14ac:dyDescent="0.25">
      <c r="L1" s="126"/>
      <c r="M1" s="126"/>
      <c r="N1" s="126"/>
      <c r="O1" s="126"/>
      <c r="P1" s="126"/>
    </row>
    <row r="2" spans="1:19" ht="15.75" customHeight="1" x14ac:dyDescent="0.25">
      <c r="A2" s="46" t="str">
        <f>CONCATENATE("ABITAZIONE PRINCIPALE E PERTINENZE", " - Contribuente: ", Home!D8)</f>
        <v xml:space="preserve">ABITAZIONE PRINCIPALE E PERTINENZE - Contribuente: </v>
      </c>
    </row>
    <row r="3" spans="1:19" ht="15.75" hidden="1" customHeight="1" x14ac:dyDescent="0.25">
      <c r="A3" s="47" t="s">
        <v>64</v>
      </c>
      <c r="B3" s="49"/>
      <c r="C3" s="111">
        <v>1</v>
      </c>
    </row>
    <row r="4" spans="1:19" hidden="1" x14ac:dyDescent="0.25">
      <c r="A4" s="47" t="s">
        <v>32</v>
      </c>
      <c r="B4" s="49"/>
      <c r="C4" s="50"/>
      <c r="D4" s="98" t="str">
        <f>IF($C$4="","",IF($C$4&gt;=1,"Mesi figlio 1",""))</f>
        <v/>
      </c>
      <c r="E4" s="51"/>
      <c r="F4" s="51" t="str">
        <f>IF($C$4="","",IF($C$4&gt;=2,"Mesi figlio 2",""))</f>
        <v/>
      </c>
      <c r="G4" s="51" t="str">
        <f>IF($C$4="","",IF($C$4&gt;=3,"Mesi figlio 3",""))</f>
        <v/>
      </c>
      <c r="H4" s="51"/>
      <c r="I4" s="51" t="str">
        <f>IF($C$4="","",IF($C$4&gt;=4,"Mesi figlio 4",""))</f>
        <v/>
      </c>
      <c r="K4" s="51" t="str">
        <f>IF($C$4="","",IF($C$4&gt;=5,"Mesi figlio 5",""))</f>
        <v/>
      </c>
      <c r="L4" s="51" t="str">
        <f>IF($C$4="","",IF($C$4&gt;=6,"Mesi figlio 6",""))</f>
        <v/>
      </c>
      <c r="O4" s="51" t="str">
        <f>IF($C$4="","",IF($C$4&gt;=7,"Mesi figlio 7",""))</f>
        <v/>
      </c>
      <c r="P4" s="51" t="str">
        <f>IF($C$4="","",IF($C$4&gt;=8,"Mesi figlio 8",""))</f>
        <v/>
      </c>
    </row>
    <row r="5" spans="1:19" hidden="1" x14ac:dyDescent="0.25">
      <c r="A5" s="72" t="s">
        <v>40</v>
      </c>
      <c r="B5" s="73"/>
      <c r="C5" s="74"/>
      <c r="D5" s="57"/>
      <c r="E5" s="57"/>
      <c r="F5" s="57"/>
      <c r="G5" s="57"/>
      <c r="H5" s="57"/>
      <c r="I5" s="57"/>
      <c r="K5" s="57"/>
      <c r="L5" s="57"/>
      <c r="O5" s="57"/>
      <c r="P5" s="57"/>
    </row>
    <row r="6" spans="1:19" x14ac:dyDescent="0.25">
      <c r="A6" s="72" t="s">
        <v>131</v>
      </c>
      <c r="B6" s="73"/>
      <c r="C6" s="100"/>
      <c r="D6" s="99" t="str">
        <f>IF(AND(C4&gt;0,C5=0),"Attenzione: in mancanza di indicazione della percentuale non viene calcolata l'ulteriore detrazione per figli","")</f>
        <v/>
      </c>
      <c r="E6" s="99"/>
    </row>
    <row r="7" spans="1:19" x14ac:dyDescent="0.25">
      <c r="A7" s="72" t="s">
        <v>132</v>
      </c>
      <c r="B7" s="73"/>
      <c r="C7" s="100"/>
      <c r="D7" s="99"/>
      <c r="E7" s="99"/>
    </row>
    <row r="8" spans="1:19" hidden="1" x14ac:dyDescent="0.25">
      <c r="A8" s="75" t="s">
        <v>41</v>
      </c>
      <c r="B8" s="76"/>
      <c r="C8" s="77">
        <f>IF(OR(Home!D9=2012,Home!D9=2013),IF(C4=1,50,IF(C4=2,100,IF(C4=3,150,IF(C4=4,200,IF(C4=5,250,IF(C4=6,300,IF(C4=7,350,400))))))),0)</f>
        <v>400</v>
      </c>
      <c r="D8" s="45" t="str">
        <f>IF(C4=0,"",IF(Home!D9=0,"Attenzione: l'ulteriore detrazione non viene calcolata perché non è stato inserito il periodo d'imposta nella maschera iniziale",""))</f>
        <v/>
      </c>
    </row>
    <row r="9" spans="1:19" hidden="1" x14ac:dyDescent="0.25">
      <c r="A9" s="72" t="s">
        <v>95</v>
      </c>
      <c r="B9" s="73"/>
      <c r="C9" s="78">
        <f>IF(C4=0,0,N24)</f>
        <v>0</v>
      </c>
    </row>
    <row r="10" spans="1:19" x14ac:dyDescent="0.25">
      <c r="A10" s="72" t="s">
        <v>114</v>
      </c>
      <c r="B10" s="73"/>
      <c r="C10" s="79"/>
    </row>
    <row r="11" spans="1:19" ht="18" customHeight="1" x14ac:dyDescent="0.25">
      <c r="A11" s="51" t="s">
        <v>11</v>
      </c>
      <c r="B11" s="51" t="s">
        <v>78</v>
      </c>
      <c r="C11" s="51" t="s">
        <v>31</v>
      </c>
      <c r="D11" s="104" t="s">
        <v>89</v>
      </c>
      <c r="E11" s="132" t="s">
        <v>88</v>
      </c>
      <c r="F11" s="133" t="s">
        <v>87</v>
      </c>
      <c r="G11" s="106" t="s">
        <v>23</v>
      </c>
      <c r="H11" s="51" t="s">
        <v>85</v>
      </c>
      <c r="I11" s="51" t="s">
        <v>85</v>
      </c>
      <c r="J11" s="52" t="s">
        <v>6</v>
      </c>
      <c r="K11" s="51" t="s">
        <v>8</v>
      </c>
      <c r="L11" s="51" t="s">
        <v>9</v>
      </c>
      <c r="M11" s="51"/>
      <c r="N11" s="52" t="s">
        <v>19</v>
      </c>
      <c r="O11" s="51" t="s">
        <v>9</v>
      </c>
      <c r="P11" s="51" t="s">
        <v>10</v>
      </c>
      <c r="Q11" s="52" t="s">
        <v>71</v>
      </c>
      <c r="R11" s="52" t="s">
        <v>71</v>
      </c>
      <c r="S11" s="52" t="s">
        <v>71</v>
      </c>
    </row>
    <row r="12" spans="1:19" ht="18" customHeight="1" x14ac:dyDescent="0.25">
      <c r="A12" s="53"/>
      <c r="B12" s="53" t="s">
        <v>77</v>
      </c>
      <c r="C12" s="53" t="s">
        <v>42</v>
      </c>
      <c r="D12" s="53" t="s">
        <v>87</v>
      </c>
      <c r="E12" s="53" t="s">
        <v>148</v>
      </c>
      <c r="F12" s="53" t="s">
        <v>149</v>
      </c>
      <c r="G12" s="53" t="s">
        <v>24</v>
      </c>
      <c r="H12" s="53" t="s">
        <v>126</v>
      </c>
      <c r="I12" s="53" t="s">
        <v>130</v>
      </c>
      <c r="J12" s="54" t="s">
        <v>7</v>
      </c>
      <c r="K12" s="53" t="s">
        <v>9</v>
      </c>
      <c r="L12" s="53" t="s">
        <v>98</v>
      </c>
      <c r="M12" s="53"/>
      <c r="N12" s="54" t="s">
        <v>46</v>
      </c>
      <c r="O12" s="53" t="s">
        <v>125</v>
      </c>
      <c r="P12" s="53" t="s">
        <v>9</v>
      </c>
      <c r="Q12" s="54" t="s">
        <v>72</v>
      </c>
      <c r="R12" s="54" t="s">
        <v>73</v>
      </c>
      <c r="S12" s="54" t="s">
        <v>74</v>
      </c>
    </row>
    <row r="13" spans="1:19" ht="18" customHeight="1" x14ac:dyDescent="0.25">
      <c r="A13" s="55" t="s">
        <v>94</v>
      </c>
      <c r="B13" s="50"/>
      <c r="C13" s="79"/>
      <c r="D13" s="80"/>
      <c r="E13" s="57"/>
      <c r="F13" s="57"/>
      <c r="G13" s="58"/>
      <c r="H13" s="59"/>
      <c r="I13" s="59"/>
      <c r="J13" s="68">
        <f>IF(G13&gt;0,160,0)</f>
        <v>0</v>
      </c>
      <c r="K13" s="61">
        <f>ROUND(IF(G13=0,0,(G13*D13/100)*1.05*J13),2)</f>
        <v>0</v>
      </c>
      <c r="L13" s="61">
        <f>ROUND((K13*(H13/100)*(E13/12)),2)</f>
        <v>0</v>
      </c>
      <c r="M13" s="108"/>
      <c r="N13" s="60">
        <f>IF(K13&gt;0,ROUND(K13*(I13/100)*((E13+F13)/12),2),0)</f>
        <v>0</v>
      </c>
      <c r="O13" s="61">
        <f>IF(N13-L13&gt;0,N13-L13,0)</f>
        <v>0</v>
      </c>
      <c r="P13" s="61">
        <f>L13+O13</f>
        <v>0</v>
      </c>
      <c r="Q13" s="62">
        <f t="shared" ref="Q13:R16" si="0">IF(L13&gt;0,1,0)</f>
        <v>0</v>
      </c>
      <c r="R13" s="62">
        <f t="shared" si="0"/>
        <v>0</v>
      </c>
      <c r="S13" s="62">
        <f>IF(O13&gt;0,1,0)</f>
        <v>0</v>
      </c>
    </row>
    <row r="14" spans="1:19" ht="18" customHeight="1" x14ac:dyDescent="0.25">
      <c r="A14" s="55" t="s">
        <v>37</v>
      </c>
      <c r="B14" s="50"/>
      <c r="C14" s="63"/>
      <c r="D14" s="80"/>
      <c r="E14" s="57"/>
      <c r="F14" s="57"/>
      <c r="G14" s="58"/>
      <c r="H14" s="59"/>
      <c r="I14" s="59"/>
      <c r="J14" s="68">
        <f>IF(G14&gt;0,160,0)</f>
        <v>0</v>
      </c>
      <c r="K14" s="61">
        <f>ROUND(IF(G14=0,0,(G14*D14/100)*1.05*J14),2)</f>
        <v>0</v>
      </c>
      <c r="L14" s="61">
        <f>ROUND((K14*(H14/100)*(E14/12)),2)</f>
        <v>0</v>
      </c>
      <c r="M14" s="108"/>
      <c r="N14" s="60">
        <f>IF(K14&gt;0,ROUND(K14*(I14/100)*((E14+F14)/12),2),0)</f>
        <v>0</v>
      </c>
      <c r="O14" s="61">
        <f>IF(N14-L14&gt;0,N14-L14,0)</f>
        <v>0</v>
      </c>
      <c r="P14" s="61">
        <f>L14+O14</f>
        <v>0</v>
      </c>
      <c r="Q14" s="62">
        <f t="shared" si="0"/>
        <v>0</v>
      </c>
      <c r="R14" s="62">
        <f t="shared" si="0"/>
        <v>0</v>
      </c>
      <c r="S14" s="62">
        <f>IF(O14&gt;0,1,0)</f>
        <v>0</v>
      </c>
    </row>
    <row r="15" spans="1:19" ht="18" customHeight="1" x14ac:dyDescent="0.25">
      <c r="A15" s="55" t="s">
        <v>38</v>
      </c>
      <c r="B15" s="50"/>
      <c r="C15" s="81"/>
      <c r="D15" s="80"/>
      <c r="E15" s="57"/>
      <c r="F15" s="57"/>
      <c r="G15" s="58"/>
      <c r="H15" s="59"/>
      <c r="I15" s="59"/>
      <c r="J15" s="68">
        <f>IF(G15&gt;0,160,0)</f>
        <v>0</v>
      </c>
      <c r="K15" s="61">
        <f>ROUND(IF(G15=0,0,(G15*D15/100)*1.05*J15),2)</f>
        <v>0</v>
      </c>
      <c r="L15" s="61">
        <f>ROUND((K15*(H15/100)*(E15/12)),2)</f>
        <v>0</v>
      </c>
      <c r="M15" s="108"/>
      <c r="N15" s="60">
        <f>IF(K15&gt;0,ROUND(K15*(I15/100)*((E15+F15)/12),2),0)</f>
        <v>0</v>
      </c>
      <c r="O15" s="61">
        <f>IF(N15-L15&gt;0,N15-L15,0)</f>
        <v>0</v>
      </c>
      <c r="P15" s="61">
        <f>L15+O15</f>
        <v>0</v>
      </c>
      <c r="Q15" s="62">
        <f t="shared" si="0"/>
        <v>0</v>
      </c>
      <c r="R15" s="62">
        <f t="shared" si="0"/>
        <v>0</v>
      </c>
      <c r="S15" s="62">
        <f>IF(O15&gt;0,1,0)</f>
        <v>0</v>
      </c>
    </row>
    <row r="16" spans="1:19" ht="18" customHeight="1" x14ac:dyDescent="0.25">
      <c r="A16" s="63" t="s">
        <v>39</v>
      </c>
      <c r="B16" s="50"/>
      <c r="C16" s="82"/>
      <c r="D16" s="80"/>
      <c r="E16" s="57"/>
      <c r="F16" s="57"/>
      <c r="G16" s="58"/>
      <c r="H16" s="59"/>
      <c r="I16" s="59"/>
      <c r="J16" s="68">
        <f>IF(G16&gt;0,160,0)</f>
        <v>0</v>
      </c>
      <c r="K16" s="61">
        <f>ROUND(IF(G16=0,0,(G16*D16/100)*1.05*J16),2)</f>
        <v>0</v>
      </c>
      <c r="L16" s="61">
        <f>ROUND((K16*(H16/100)*(E16/12)),2)</f>
        <v>0</v>
      </c>
      <c r="M16" s="108"/>
      <c r="N16" s="60">
        <f>IF(K16&gt;0,ROUND(K16*(I16/100)*((E16+F16)/12),2),0)</f>
        <v>0</v>
      </c>
      <c r="O16" s="61">
        <f>IF(N16-L16&gt;0,N16-L16,0)</f>
        <v>0</v>
      </c>
      <c r="P16" s="61">
        <f>L16+O16</f>
        <v>0</v>
      </c>
      <c r="Q16" s="62">
        <f t="shared" si="0"/>
        <v>0</v>
      </c>
      <c r="R16" s="62">
        <f t="shared" si="0"/>
        <v>0</v>
      </c>
      <c r="S16" s="62">
        <f>IF(O16&gt;0,1,0)</f>
        <v>0</v>
      </c>
    </row>
    <row r="17" spans="1:19" ht="18" customHeight="1" x14ac:dyDescent="0.25">
      <c r="A17" s="83"/>
      <c r="B17" s="65" t="s">
        <v>10</v>
      </c>
      <c r="C17" s="84"/>
      <c r="D17" s="65"/>
      <c r="E17" s="65"/>
      <c r="F17" s="65"/>
      <c r="G17" s="65"/>
      <c r="H17" s="65"/>
      <c r="I17" s="65"/>
      <c r="J17" s="65"/>
      <c r="K17" s="66">
        <f t="shared" ref="K17:S17" si="1">SUM(K13:K16)</f>
        <v>0</v>
      </c>
      <c r="L17" s="66">
        <f t="shared" si="1"/>
        <v>0</v>
      </c>
      <c r="M17" s="109"/>
      <c r="N17" s="92">
        <f t="shared" si="1"/>
        <v>0</v>
      </c>
      <c r="O17" s="66">
        <f t="shared" si="1"/>
        <v>0</v>
      </c>
      <c r="P17" s="66">
        <f>SUM(P13:P16)</f>
        <v>0</v>
      </c>
      <c r="Q17" s="62">
        <f t="shared" si="1"/>
        <v>0</v>
      </c>
      <c r="R17" s="62">
        <f t="shared" si="1"/>
        <v>0</v>
      </c>
      <c r="S17" s="62">
        <f t="shared" si="1"/>
        <v>0</v>
      </c>
    </row>
    <row r="18" spans="1:19" hidden="1" x14ac:dyDescent="0.25">
      <c r="A18" s="85"/>
      <c r="B18" s="86" t="s">
        <v>43</v>
      </c>
      <c r="C18" s="86"/>
      <c r="D18" s="86"/>
      <c r="E18" s="86"/>
      <c r="F18" s="86"/>
      <c r="G18" s="86"/>
      <c r="H18" s="86"/>
      <c r="I18" s="86"/>
      <c r="J18" s="86"/>
      <c r="K18" s="87"/>
      <c r="L18" s="60">
        <f>IF(L17=0,0,IF($C$13=0,0,(((C6*F13/12)/$C$13)+$C$9)))</f>
        <v>0</v>
      </c>
      <c r="M18" s="60">
        <f>IF($C$3=1,0,IF($C$3=2,L18,0))</f>
        <v>0</v>
      </c>
      <c r="N18" s="60">
        <f>IF(N17=0,0,IF($C$13=0,0,((C7*F13/12)/$C$13)+$C$9))</f>
        <v>0</v>
      </c>
      <c r="O18" s="60">
        <f>N18</f>
        <v>0</v>
      </c>
      <c r="P18" s="88"/>
      <c r="Q18" s="88"/>
      <c r="R18" s="88"/>
      <c r="S18" s="88"/>
    </row>
    <row r="19" spans="1:19" hidden="1" x14ac:dyDescent="0.25">
      <c r="A19" s="85"/>
      <c r="B19" s="86" t="s">
        <v>65</v>
      </c>
      <c r="C19" s="86"/>
      <c r="D19" s="86"/>
      <c r="E19" s="86"/>
      <c r="F19" s="86"/>
      <c r="G19" s="86"/>
      <c r="H19" s="86"/>
      <c r="I19" s="86"/>
      <c r="J19" s="86"/>
      <c r="K19" s="87"/>
      <c r="L19" s="60">
        <f>L18/2</f>
        <v>0</v>
      </c>
      <c r="M19" s="60">
        <f>IF($C$3=1,0,IF($C$3=2,L19,0))</f>
        <v>0</v>
      </c>
      <c r="N19" s="60">
        <f>N18</f>
        <v>0</v>
      </c>
      <c r="O19" s="60">
        <f>N19-L19</f>
        <v>0</v>
      </c>
      <c r="P19" s="88"/>
      <c r="Q19" s="88"/>
      <c r="R19" s="88"/>
      <c r="S19" s="88"/>
    </row>
    <row r="20" spans="1:19" x14ac:dyDescent="0.25">
      <c r="A20" s="85"/>
      <c r="B20" s="65" t="s">
        <v>21</v>
      </c>
      <c r="C20" s="65"/>
      <c r="D20" s="65"/>
      <c r="E20" s="65"/>
      <c r="F20" s="65"/>
      <c r="G20" s="65"/>
      <c r="H20" s="65"/>
      <c r="I20" s="65"/>
      <c r="J20" s="65"/>
      <c r="K20" s="70"/>
      <c r="L20" s="61">
        <f>IF(L17&gt;L19,L19,L17)</f>
        <v>0</v>
      </c>
      <c r="M20" s="61">
        <f>IF($C$3=1,0,IF($C$3=2,L20,0))</f>
        <v>0</v>
      </c>
      <c r="N20" s="61">
        <f>IF(N17&gt;N19,N19,N17)</f>
        <v>0</v>
      </c>
      <c r="O20" s="61">
        <f>IF(N20-L20&gt;0,N20-L20,0)</f>
        <v>0</v>
      </c>
      <c r="P20" s="88"/>
      <c r="Q20" s="89"/>
      <c r="R20" s="89"/>
      <c r="S20" s="89"/>
    </row>
    <row r="21" spans="1:19" x14ac:dyDescent="0.25">
      <c r="A21" s="90"/>
      <c r="B21" s="84" t="s">
        <v>22</v>
      </c>
      <c r="C21" s="84"/>
      <c r="D21" s="84"/>
      <c r="E21" s="84"/>
      <c r="F21" s="84"/>
      <c r="G21" s="84"/>
      <c r="H21" s="84"/>
      <c r="I21" s="65"/>
      <c r="J21" s="65"/>
      <c r="K21" s="91"/>
      <c r="L21" s="61">
        <f>L17-L20</f>
        <v>0</v>
      </c>
      <c r="M21" s="61">
        <f>IF($C$3=1,0,IF($C$3=2,L21,0))</f>
        <v>0</v>
      </c>
      <c r="N21" s="61">
        <f>N17-N20</f>
        <v>0</v>
      </c>
      <c r="O21" s="61">
        <f>IF(O17-O20&lt;0,0,O17-O20)</f>
        <v>0</v>
      </c>
      <c r="P21" s="88"/>
      <c r="Q21" s="89"/>
      <c r="R21" s="89"/>
      <c r="S21" s="89"/>
    </row>
    <row r="22" spans="1:19" hidden="1" x14ac:dyDescent="0.25"/>
    <row r="23" spans="1:19" hidden="1" x14ac:dyDescent="0.25"/>
    <row r="24" spans="1:19" hidden="1" x14ac:dyDescent="0.25">
      <c r="B24" s="101" t="s">
        <v>93</v>
      </c>
      <c r="D24" s="102">
        <f>ROUND(IF($C$4&gt;=1,IF(D5&gt;0,(50*$C$5/100)*D5/12,0),0),2)</f>
        <v>0</v>
      </c>
      <c r="E24" s="102"/>
      <c r="F24" s="102">
        <f>ROUND(IF($C$4&gt;=2,IF(F5&gt;0,(50*$C$5/100)*F5/12,0),0),2)</f>
        <v>0</v>
      </c>
      <c r="G24" s="102">
        <f>ROUND(IF($C$4&gt;=3,IF(G5&gt;0,(50*$C$5/100)*G5/12,0),0),2)</f>
        <v>0</v>
      </c>
      <c r="H24" s="102"/>
      <c r="I24" s="102">
        <f>ROUND(IF($C$4&gt;=4,IF(I5&gt;0,(50*$C$5/100)*I5/12,0),0),2)</f>
        <v>0</v>
      </c>
      <c r="J24" s="102">
        <f>ROUND(IF($C$4&gt;=5,IF(K5&gt;0,(50*$C$5/100)*K5/12,0),0),2)</f>
        <v>0</v>
      </c>
      <c r="K24" s="102">
        <f>ROUND(IF($C$4&gt;=6,IF(L5&gt;0,(50*$C$5/100)*L5/12,0),0),2)</f>
        <v>0</v>
      </c>
      <c r="L24" s="102">
        <f>ROUND(IF($C$4&gt;=7,IF(O5&gt;0,(50*$C$5/100)*O5/12,0),0),2)</f>
        <v>0</v>
      </c>
      <c r="M24" s="102">
        <f>ROUND(IF($C$4&gt;=8,IF(P5&gt;0,(50*$C$5/100)*P5/12,0),0),2)</f>
        <v>0</v>
      </c>
      <c r="N24" s="103">
        <f>SUM(D24:M24)</f>
        <v>0</v>
      </c>
    </row>
    <row r="25" spans="1:19" hidden="1" x14ac:dyDescent="0.25">
      <c r="C25" s="101"/>
      <c r="D25" s="101"/>
      <c r="E25" s="101"/>
      <c r="F25" s="101"/>
      <c r="G25" s="101"/>
      <c r="H25" s="101"/>
      <c r="I25" s="101"/>
      <c r="J25" s="101"/>
      <c r="K25" s="101"/>
      <c r="L25" s="101"/>
      <c r="M25" s="101"/>
      <c r="N25" s="101"/>
    </row>
    <row r="26" spans="1:19" hidden="1" x14ac:dyDescent="0.25">
      <c r="A26" s="45" t="s">
        <v>103</v>
      </c>
      <c r="C26" s="101"/>
      <c r="D26" s="101"/>
      <c r="E26" s="101"/>
      <c r="F26" s="101"/>
      <c r="G26" s="101"/>
      <c r="H26" s="101"/>
      <c r="I26" s="101"/>
      <c r="J26" s="101"/>
      <c r="K26" s="101"/>
      <c r="L26" s="101"/>
      <c r="M26" s="101"/>
      <c r="N26" s="101"/>
    </row>
    <row r="27" spans="1:19" hidden="1" x14ac:dyDescent="0.25">
      <c r="A27" s="47" t="s">
        <v>32</v>
      </c>
      <c r="B27" s="49"/>
      <c r="C27" s="50">
        <f>C4</f>
        <v>0</v>
      </c>
      <c r="D27" s="98" t="str">
        <f>IF($C$4="","",IF($C$4&gt;=1,"Mesi figlio 1",""))</f>
        <v/>
      </c>
      <c r="E27" s="51"/>
      <c r="F27" s="51" t="str">
        <f>IF($C$4="","",IF($C$4&gt;=2,"Mesi figlio 2",""))</f>
        <v/>
      </c>
      <c r="G27" s="51" t="str">
        <f>IF($C$4="","",IF($C$4&gt;=3,"Mesi figlio 3",""))</f>
        <v/>
      </c>
      <c r="H27" s="51"/>
      <c r="I27" s="51" t="str">
        <f>IF($C$4="","",IF($C$4&gt;=4,"Mesi figlio 4",""))</f>
        <v/>
      </c>
      <c r="K27" s="51" t="str">
        <f>IF($C$4="","",IF($C$4&gt;=5,"Mesi figlio 5",""))</f>
        <v/>
      </c>
      <c r="L27" s="51" t="str">
        <f>IF($C$4="","",IF($C$4&gt;=6,"Mesi figlio 6",""))</f>
        <v/>
      </c>
      <c r="O27" s="51" t="str">
        <f>IF($C$4="","",IF($C$4&gt;=7,"Mesi figlio 7",""))</f>
        <v/>
      </c>
      <c r="P27" s="51" t="str">
        <f>IF($C$4="","",IF($C$4&gt;=8,"Mesi figlio 8",""))</f>
        <v/>
      </c>
    </row>
    <row r="28" spans="1:19" hidden="1" x14ac:dyDescent="0.25">
      <c r="A28" s="72" t="s">
        <v>40</v>
      </c>
      <c r="B28" s="73"/>
      <c r="C28" s="74">
        <f>C5</f>
        <v>0</v>
      </c>
      <c r="D28" s="74">
        <f t="shared" ref="D28:P28" si="2">D5</f>
        <v>0</v>
      </c>
      <c r="E28" s="74"/>
      <c r="F28" s="74">
        <f t="shared" si="2"/>
        <v>0</v>
      </c>
      <c r="G28" s="74">
        <f t="shared" si="2"/>
        <v>0</v>
      </c>
      <c r="H28" s="74">
        <f t="shared" si="2"/>
        <v>0</v>
      </c>
      <c r="I28" s="74">
        <f t="shared" si="2"/>
        <v>0</v>
      </c>
      <c r="J28" s="74">
        <f t="shared" si="2"/>
        <v>0</v>
      </c>
      <c r="K28" s="74">
        <f t="shared" si="2"/>
        <v>0</v>
      </c>
      <c r="L28" s="74">
        <f t="shared" si="2"/>
        <v>0</v>
      </c>
      <c r="M28" s="74">
        <f t="shared" si="2"/>
        <v>0</v>
      </c>
      <c r="N28" s="74">
        <f t="shared" si="2"/>
        <v>0</v>
      </c>
      <c r="O28" s="74">
        <f t="shared" si="2"/>
        <v>0</v>
      </c>
      <c r="P28" s="74">
        <f t="shared" si="2"/>
        <v>0</v>
      </c>
    </row>
    <row r="29" spans="1:19" hidden="1" x14ac:dyDescent="0.25">
      <c r="A29" s="72" t="s">
        <v>104</v>
      </c>
      <c r="B29" s="73"/>
      <c r="C29" s="100">
        <v>200</v>
      </c>
      <c r="D29" s="99" t="str">
        <f>IF(AND(C27&gt;0,C28=0),"Attenzione: in mancanza di indicazione della percentuale non viene calcolata l'ulteriore detrazione per figli","")</f>
        <v/>
      </c>
      <c r="E29" s="99"/>
    </row>
    <row r="30" spans="1:19" hidden="1" x14ac:dyDescent="0.25">
      <c r="A30" s="75" t="s">
        <v>41</v>
      </c>
      <c r="B30" s="76"/>
      <c r="C30" s="77">
        <f>IF(OR(Home!D30=2012,Home!D30=2013),IF(C27=1,50,IF(C27=2,100,IF(C27=3,150,IF(C27=4,200,IF(C27=5,250,IF(C27=6,300,IF(C27=7,350,400))))))),0)</f>
        <v>0</v>
      </c>
      <c r="D30" s="45" t="str">
        <f>IF(C27=0,"",IF(Home!D30=0,"Attenzione: l'ulteriore detrazione non viene calcolata perché non è stato inserito il periodo d'imposta nella maschera iniziale",""))</f>
        <v/>
      </c>
    </row>
    <row r="31" spans="1:19" hidden="1" x14ac:dyDescent="0.25">
      <c r="A31" s="72" t="s">
        <v>95</v>
      </c>
      <c r="B31" s="73"/>
      <c r="C31" s="78">
        <f>IF(C27=0,0,N45)</f>
        <v>0</v>
      </c>
    </row>
    <row r="32" spans="1:19" hidden="1" x14ac:dyDescent="0.25">
      <c r="A32" s="51" t="s">
        <v>11</v>
      </c>
      <c r="B32" s="51" t="s">
        <v>78</v>
      </c>
      <c r="C32" s="51" t="s">
        <v>31</v>
      </c>
      <c r="D32" s="51" t="s">
        <v>89</v>
      </c>
      <c r="E32" s="51"/>
      <c r="F32" s="51" t="s">
        <v>88</v>
      </c>
      <c r="G32" s="51" t="s">
        <v>23</v>
      </c>
      <c r="H32" s="51" t="s">
        <v>85</v>
      </c>
      <c r="I32" s="51" t="s">
        <v>85</v>
      </c>
      <c r="J32" s="52" t="s">
        <v>6</v>
      </c>
      <c r="K32" s="51" t="s">
        <v>8</v>
      </c>
      <c r="L32" s="51" t="s">
        <v>9</v>
      </c>
      <c r="M32" s="45" t="str">
        <f>IF(C26=2,"IMU 2° rata","")</f>
        <v/>
      </c>
    </row>
    <row r="33" spans="1:13" hidden="1" x14ac:dyDescent="0.25">
      <c r="A33" s="53"/>
      <c r="B33" s="53" t="s">
        <v>77</v>
      </c>
      <c r="C33" s="53" t="s">
        <v>42</v>
      </c>
      <c r="D33" s="53" t="s">
        <v>87</v>
      </c>
      <c r="E33" s="53"/>
      <c r="F33" s="53" t="s">
        <v>87</v>
      </c>
      <c r="G33" s="53" t="s">
        <v>24</v>
      </c>
      <c r="H33" s="53" t="s">
        <v>101</v>
      </c>
      <c r="I33" s="53" t="s">
        <v>97</v>
      </c>
      <c r="J33" s="54" t="s">
        <v>7</v>
      </c>
      <c r="K33" s="53" t="s">
        <v>9</v>
      </c>
      <c r="L33" s="53" t="s">
        <v>122</v>
      </c>
      <c r="M33" s="45" t="str">
        <f>IF(C26=2,"aliq base 0,40%","")</f>
        <v/>
      </c>
    </row>
    <row r="34" spans="1:13" hidden="1" x14ac:dyDescent="0.25">
      <c r="A34" s="55" t="s">
        <v>94</v>
      </c>
      <c r="B34" s="50">
        <f>B13</f>
        <v>0</v>
      </c>
      <c r="C34" s="50">
        <f>C13</f>
        <v>0</v>
      </c>
      <c r="D34" s="50">
        <f>D13</f>
        <v>0</v>
      </c>
      <c r="E34" s="50"/>
      <c r="F34" s="50">
        <f>F13</f>
        <v>0</v>
      </c>
      <c r="G34" s="50">
        <f>G13</f>
        <v>0</v>
      </c>
      <c r="H34" s="59">
        <v>0.4</v>
      </c>
      <c r="I34" s="59">
        <v>0.4</v>
      </c>
      <c r="J34" s="68">
        <f>IF(G34&gt;0,160,0)</f>
        <v>0</v>
      </c>
      <c r="K34" s="61">
        <f>K13</f>
        <v>0</v>
      </c>
      <c r="L34" s="61">
        <f>ROUND(IF(K34&gt;0,K34*0.4/100*F34/12,0),2)</f>
        <v>0</v>
      </c>
      <c r="M34" s="45">
        <f>IF($C$3=1,0,IF($C$3=2,L34,0))</f>
        <v>0</v>
      </c>
    </row>
    <row r="35" spans="1:13" hidden="1" x14ac:dyDescent="0.25">
      <c r="A35" s="55" t="s">
        <v>37</v>
      </c>
      <c r="B35" s="50">
        <f>B14</f>
        <v>0</v>
      </c>
      <c r="C35" s="63"/>
      <c r="D35" s="100">
        <f>D14</f>
        <v>0</v>
      </c>
      <c r="E35" s="100"/>
      <c r="F35" s="50">
        <f t="shared" ref="D35:G37" si="3">F14</f>
        <v>0</v>
      </c>
      <c r="G35" s="50">
        <f t="shared" si="3"/>
        <v>0</v>
      </c>
      <c r="H35" s="59"/>
      <c r="I35" s="59"/>
      <c r="J35" s="68">
        <f>IF(G35&gt;0,160,0)</f>
        <v>0</v>
      </c>
      <c r="K35" s="61">
        <f>K14</f>
        <v>0</v>
      </c>
      <c r="L35" s="61">
        <f>ROUND(IF(K35&gt;0,K35*0.4/100*F35/12,0),2)</f>
        <v>0</v>
      </c>
      <c r="M35" s="45">
        <f>IF($C$3=1,0,IF($C$3=2,L35,0))</f>
        <v>0</v>
      </c>
    </row>
    <row r="36" spans="1:13" hidden="1" x14ac:dyDescent="0.25">
      <c r="A36" s="55" t="s">
        <v>38</v>
      </c>
      <c r="B36" s="50">
        <f>B15</f>
        <v>0</v>
      </c>
      <c r="C36" s="81"/>
      <c r="D36" s="50">
        <f t="shared" si="3"/>
        <v>0</v>
      </c>
      <c r="E36" s="50"/>
      <c r="F36" s="50">
        <f t="shared" si="3"/>
        <v>0</v>
      </c>
      <c r="G36" s="50">
        <f t="shared" si="3"/>
        <v>0</v>
      </c>
      <c r="H36" s="59"/>
      <c r="I36" s="59"/>
      <c r="J36" s="68">
        <f>IF(G36&gt;0,160,0)</f>
        <v>0</v>
      </c>
      <c r="K36" s="61">
        <f>K15</f>
        <v>0</v>
      </c>
      <c r="L36" s="61">
        <f>ROUND(IF(K36&gt;0,K36*0.4/100*F36/12,0),2)</f>
        <v>0</v>
      </c>
      <c r="M36" s="45">
        <f>IF($C$3=1,0,IF($C$3=2,L36,0))</f>
        <v>0</v>
      </c>
    </row>
    <row r="37" spans="1:13" hidden="1" x14ac:dyDescent="0.25">
      <c r="A37" s="63" t="s">
        <v>39</v>
      </c>
      <c r="B37" s="50">
        <f>B16</f>
        <v>0</v>
      </c>
      <c r="C37" s="82"/>
      <c r="D37" s="50">
        <f t="shared" si="3"/>
        <v>0</v>
      </c>
      <c r="E37" s="50"/>
      <c r="F37" s="50">
        <f t="shared" si="3"/>
        <v>0</v>
      </c>
      <c r="G37" s="50">
        <f t="shared" si="3"/>
        <v>0</v>
      </c>
      <c r="H37" s="59"/>
      <c r="I37" s="59"/>
      <c r="J37" s="68">
        <f>IF(G37&gt;0,160,0)</f>
        <v>0</v>
      </c>
      <c r="K37" s="61">
        <f>K16</f>
        <v>0</v>
      </c>
      <c r="L37" s="61">
        <f>ROUND(IF(K37&gt;0,K37*0.4/100*F37/12,0),2)</f>
        <v>0</v>
      </c>
      <c r="M37" s="45">
        <f>IF($C$3=1,0,IF($C$3=2,L37,0))</f>
        <v>0</v>
      </c>
    </row>
    <row r="38" spans="1:13" hidden="1" x14ac:dyDescent="0.25">
      <c r="A38" s="83"/>
      <c r="B38" s="65" t="s">
        <v>10</v>
      </c>
      <c r="C38" s="84"/>
      <c r="D38" s="65"/>
      <c r="E38" s="65"/>
      <c r="F38" s="65"/>
      <c r="G38" s="65"/>
      <c r="H38" s="65"/>
      <c r="I38" s="65"/>
      <c r="J38" s="65"/>
      <c r="K38" s="66">
        <f>SUM(K34:K37)</f>
        <v>0</v>
      </c>
      <c r="L38" s="66">
        <f>SUM(L34:L37)</f>
        <v>0</v>
      </c>
    </row>
    <row r="39" spans="1:13" hidden="1" x14ac:dyDescent="0.25">
      <c r="A39" s="85"/>
      <c r="B39" s="86" t="s">
        <v>43</v>
      </c>
      <c r="C39" s="86"/>
      <c r="D39" s="86"/>
      <c r="E39" s="86"/>
      <c r="F39" s="86"/>
      <c r="G39" s="86"/>
      <c r="H39" s="86"/>
      <c r="I39" s="86"/>
      <c r="J39" s="86"/>
      <c r="K39" s="87"/>
      <c r="L39" s="60">
        <f>IF(L38=0,0,IF($C$13=0,0,(((200*F34/12)/$C$13)+$C$9)))</f>
        <v>0</v>
      </c>
    </row>
    <row r="40" spans="1:13" hidden="1" x14ac:dyDescent="0.25">
      <c r="A40" s="85"/>
      <c r="B40" s="65" t="s">
        <v>21</v>
      </c>
      <c r="C40" s="65"/>
      <c r="D40" s="65"/>
      <c r="E40" s="65"/>
      <c r="F40" s="65"/>
      <c r="G40" s="65"/>
      <c r="H40" s="65"/>
      <c r="I40" s="65"/>
      <c r="J40" s="65"/>
      <c r="K40" s="70"/>
      <c r="L40" s="61">
        <f>L39</f>
        <v>0</v>
      </c>
    </row>
    <row r="41" spans="1:13" hidden="1" x14ac:dyDescent="0.25">
      <c r="A41" s="90"/>
      <c r="B41" s="84" t="s">
        <v>22</v>
      </c>
      <c r="C41" s="84"/>
      <c r="D41" s="84"/>
      <c r="E41" s="84"/>
      <c r="F41" s="84"/>
      <c r="G41" s="84"/>
      <c r="H41" s="84"/>
      <c r="I41" s="65"/>
      <c r="J41" s="65"/>
      <c r="K41" s="91"/>
      <c r="L41" s="61">
        <f>L38-L40</f>
        <v>0</v>
      </c>
    </row>
    <row r="43" spans="1:13" hidden="1" x14ac:dyDescent="0.25">
      <c r="A43" s="46" t="s">
        <v>109</v>
      </c>
    </row>
    <row r="44" spans="1:13" hidden="1" x14ac:dyDescent="0.25">
      <c r="A44" s="55" t="s">
        <v>105</v>
      </c>
      <c r="B44" s="61">
        <f>IF(OR(C10="A/1",C10="A/8",C10="A/9"),0,IF(I13&gt;0.4,L21+O21,0))</f>
        <v>0</v>
      </c>
    </row>
    <row r="45" spans="1:13" hidden="1" x14ac:dyDescent="0.25">
      <c r="A45" s="55" t="s">
        <v>106</v>
      </c>
      <c r="B45" s="61">
        <f>IF(OR(C10="A/1",C10="A/8",C10="A/9"),0,IF(I13&gt;0.4,L41,0))</f>
        <v>0</v>
      </c>
    </row>
    <row r="46" spans="1:13" hidden="1" x14ac:dyDescent="0.25">
      <c r="A46" s="55" t="s">
        <v>107</v>
      </c>
      <c r="B46" s="61">
        <f>B44-B45</f>
        <v>0</v>
      </c>
    </row>
    <row r="47" spans="1:13" hidden="1" x14ac:dyDescent="0.25">
      <c r="A47" s="115" t="s">
        <v>108</v>
      </c>
      <c r="B47" s="66">
        <f>B46*0.4</f>
        <v>0</v>
      </c>
    </row>
  </sheetData>
  <sheetProtection password="D08A" sheet="1"/>
  <dataValidations count="16">
    <dataValidation type="decimal" allowBlank="1" showInputMessage="1" showErrorMessage="1" errorTitle="Attenzione" error="Inserire un valore tra 0,00 e 100,00" prompt="Inserire un valore tra 0,00 e 100,00" sqref="D13:D16" xr:uid="{71453DF0-53E1-4262-B992-ECBA95B2D9CE}">
      <formula1>0</formula1>
      <formula2>100</formula2>
    </dataValidation>
    <dataValidation type="whole" allowBlank="1" showInputMessage="1" showErrorMessage="1" errorTitle="Attenzione" error="Inserire un valore tra 0 e 12" prompt="Inserire un valore tra 0 e 12" sqref="K5:L5 D5:I5 O5:P5" xr:uid="{1F293590-89C0-4745-8FB3-00441924BA12}">
      <formula1>0</formula1>
      <formula2>12</formula2>
    </dataValidation>
    <dataValidation allowBlank="1" showInputMessage="1" showErrorMessage="1" prompt="Inserire il numero dei soggetti che utilizzano l'unità immobiliare come abitazione principale" sqref="C13" xr:uid="{45E54CE1-B788-4D93-B834-82F1DE3AE599}"/>
    <dataValidation allowBlank="1" showInputMessage="1" showErrorMessage="1" prompt="Inserire la rendita catastale senza alcuna rivalutazione" sqref="G13:G16" xr:uid="{49F0E28A-509D-45B6-A27D-7B20FB723070}"/>
    <dataValidation type="whole" operator="lessThanOrEqual" allowBlank="1" showInputMessage="1" showErrorMessage="1" errorTitle="Attenzione" error="Non è possibile inserire un numero di figli maggiore di 8" prompt="Inserire il numero di figli che dimora e risiede abitualmente nell'abitazione principale" sqref="C4 C27" xr:uid="{D24B8738-C96E-48EB-A9B2-A38357DE838C}">
      <formula1>8</formula1>
    </dataValidation>
    <dataValidation type="decimal" allowBlank="1" showInputMessage="1" showErrorMessage="1" errorTitle="Attenzione" error="Inserire un valore tra 0,00 e 100,00" prompt="Inserire la % di spettanza dell'ulteriore detrazione per figli conviventi" sqref="C5 C28:P28" xr:uid="{65341EF8-2222-48BD-A19A-CE15488A6557}">
      <formula1>0</formula1>
      <formula2>100</formula2>
    </dataValidation>
    <dataValidation type="decimal" operator="greaterThanOrEqual" allowBlank="1" showInputMessage="1" showErrorMessage="1" errorTitle="Attenzione" error="Inserire un valore non inferiore a 200,00" prompt="Inserire l'eventuale detrazione per abitazione principale deliberata dal comune" sqref="C29" xr:uid="{07225F28-911C-48CF-ABD0-F0ED18938308}">
      <formula1>200</formula1>
    </dataValidation>
    <dataValidation allowBlank="1" showInputMessage="1" showErrorMessage="1" prompt="Inserire l'aliquota in % (es. 0,76) deliberata dal Comune nel 2012 (dato utile a calcolare l'acconto)." sqref="H34:H37" xr:uid="{96C8C180-9F20-4562-B15A-3818A1900415}"/>
    <dataValidation allowBlank="1" showInputMessage="1" showErrorMessage="1" prompt="Inserire l'aliquota in % (es. 0,76) deliberata dal Comune per il 2013 (dato utile a calcolare il saldo)" sqref="I34:I37" xr:uid="{A88D540B-D39E-4BA4-81F1-971BEC729A42}"/>
    <dataValidation operator="lessThanOrEqual" allowBlank="1" showInputMessage="1" showErrorMessage="1" prompt="Inserire la categoria catastale dell'abitazione principale (es. A/2)" sqref="C10" xr:uid="{162ACC5A-1756-479C-944D-F13CB8650FD0}"/>
    <dataValidation type="decimal" operator="greaterThanOrEqual" allowBlank="1" showInputMessage="1" showErrorMessage="1" errorTitle="Attenzione" error="Inserire un valore non inferiore a 200,00" prompt="Inserire l'eventuale detrazione per abitazione principale deliberata dal comune nel 2012" sqref="C6" xr:uid="{1C8F9587-2EBC-4273-8252-2DF347DED12E}">
      <formula1>200</formula1>
    </dataValidation>
    <dataValidation type="decimal" operator="greaterThanOrEqual" allowBlank="1" showInputMessage="1" showErrorMessage="1" errorTitle="Attenzione" error="Inserire un valore non inferiore a 200,00" prompt="Inserire l'eventuale detrazione per abitazione principale deliberata dal comune nel 2013. In mancanza di delibera, mettere la detrazione del 2012." sqref="C7" xr:uid="{D731A07F-3BAB-4157-9BA9-B03DEC2EF7BE}">
      <formula1>200</formula1>
    </dataValidation>
    <dataValidation allowBlank="1" showInputMessage="1" showErrorMessage="1" prompt="Inserire l'aliquota deliberata nell'anno precedente (dato utile ai fini del calcolo della prima rata)" sqref="H13:H16" xr:uid="{26A5E830-9AD8-4DED-AAE0-8E247FE169C0}"/>
    <dataValidation allowBlank="1" showInputMessage="1" showErrorMessage="1" prompt="Inserire l'aliquota deliberata nell'anno (se pubblicata nel sito del MEF entro il 28/10). In caso contrario, inserire l'aliquota dell'anno precedente." sqref="I13:I16" xr:uid="{538F63A8-7899-488D-9BEC-AC942A13BC0E}"/>
    <dataValidation type="decimal" allowBlank="1" showInputMessage="1" showErrorMessage="1" errorTitle="Attenzione" error="Inserire un valore tra 0,00 e 100,00" prompt="Inserire un valore tra 0 e 6" sqref="E13:E16" xr:uid="{D7CE4251-E658-420F-A388-A4A2D4BD8804}">
      <formula1>0</formula1>
      <formula2>6</formula2>
    </dataValidation>
    <dataValidation type="whole" allowBlank="1" showInputMessage="1" showErrorMessage="1" errorTitle="Attenzione" error="Inserire un valore tra 0 e 12" prompt="Inserire un valore tra 0 e 6" sqref="F13:F16" xr:uid="{CE2ECF53-9EBE-415D-A17C-0524591D4E4F}">
      <formula1>0</formula1>
      <formula2>6</formula2>
    </dataValidation>
  </dataValidations>
  <printOptions horizontalCentered="1"/>
  <pageMargins left="0" right="0" top="0.74803149606299213" bottom="0.74803149606299213" header="0.31496062992125984" footer="0.31496062992125984"/>
  <pageSetup paperSize="9" orientation="landscape" horizontalDpi="0" verticalDpi="0" r:id="rId1"/>
  <headerFooter>
    <oddFooter>&amp;LCalcolo IMU&amp;RAbitazione principale e pertinenze</oddFooter>
  </headerFooter>
  <ignoredErrors>
    <ignoredError sqref="M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Line="0" autoPict="0" macro="[0]!Vai_home">
                <anchor moveWithCells="1" sizeWithCells="1">
                  <from>
                    <xdr:col>0</xdr:col>
                    <xdr:colOff>579120</xdr:colOff>
                    <xdr:row>0</xdr:row>
                    <xdr:rowOff>60960</xdr:rowOff>
                  </from>
                  <to>
                    <xdr:col>1</xdr:col>
                    <xdr:colOff>525780</xdr:colOff>
                    <xdr:row>0</xdr:row>
                    <xdr:rowOff>457200</xdr:rowOff>
                  </to>
                </anchor>
              </controlPr>
            </control>
          </mc:Choice>
        </mc:AlternateContent>
        <mc:AlternateContent xmlns:mc="http://schemas.openxmlformats.org/markup-compatibility/2006">
          <mc:Choice Requires="x14">
            <control shapeId="6152" r:id="rId5" name="Button 8">
              <controlPr defaultSize="0" print="0" autoFill="0" autoLine="0" autoPict="0" macro="[0]!Vai_terreni">
                <anchor moveWithCells="1" sizeWithCells="1">
                  <from>
                    <xdr:col>1</xdr:col>
                    <xdr:colOff>685800</xdr:colOff>
                    <xdr:row>0</xdr:row>
                    <xdr:rowOff>60960</xdr:rowOff>
                  </from>
                  <to>
                    <xdr:col>2</xdr:col>
                    <xdr:colOff>381000</xdr:colOff>
                    <xdr:row>0</xdr:row>
                    <xdr:rowOff>457200</xdr:rowOff>
                  </to>
                </anchor>
              </controlPr>
            </control>
          </mc:Choice>
        </mc:AlternateContent>
        <mc:AlternateContent xmlns:mc="http://schemas.openxmlformats.org/markup-compatibility/2006">
          <mc:Choice Requires="x14">
            <control shapeId="6153" r:id="rId6" name="Button 9">
              <controlPr defaultSize="0" print="0" autoFill="0" autoLine="0" autoPict="0" macro="[0]!Vai_altri_fabb">
                <anchor moveWithCells="1" sizeWithCells="1">
                  <from>
                    <xdr:col>4</xdr:col>
                    <xdr:colOff>320040</xdr:colOff>
                    <xdr:row>0</xdr:row>
                    <xdr:rowOff>60960</xdr:rowOff>
                  </from>
                  <to>
                    <xdr:col>6</xdr:col>
                    <xdr:colOff>579120</xdr:colOff>
                    <xdr:row>0</xdr:row>
                    <xdr:rowOff>457200</xdr:rowOff>
                  </to>
                </anchor>
              </controlPr>
            </control>
          </mc:Choice>
        </mc:AlternateContent>
        <mc:AlternateContent xmlns:mc="http://schemas.openxmlformats.org/markup-compatibility/2006">
          <mc:Choice Requires="x14">
            <control shapeId="6154" r:id="rId7" name="Button 10">
              <controlPr defaultSize="0" print="0" autoFill="0" autoLine="0" autoPict="0" macro="[0]!Vai_aree">
                <anchor moveWithCells="1" sizeWithCells="1">
                  <from>
                    <xdr:col>7</xdr:col>
                    <xdr:colOff>0</xdr:colOff>
                    <xdr:row>0</xdr:row>
                    <xdr:rowOff>60960</xdr:rowOff>
                  </from>
                  <to>
                    <xdr:col>8</xdr:col>
                    <xdr:colOff>495300</xdr:colOff>
                    <xdr:row>0</xdr:row>
                    <xdr:rowOff>457200</xdr:rowOff>
                  </to>
                </anchor>
              </controlPr>
            </control>
          </mc:Choice>
        </mc:AlternateContent>
        <mc:AlternateContent xmlns:mc="http://schemas.openxmlformats.org/markup-compatibility/2006">
          <mc:Choice Requires="x14">
            <control shapeId="6155" r:id="rId8" name="Button 11">
              <controlPr defaultSize="0" print="0" autoFill="0" autoLine="0" autoPict="0" macro="[0]!Vai_riepilogo">
                <anchor moveWithCells="1" sizeWithCells="1">
                  <from>
                    <xdr:col>8</xdr:col>
                    <xdr:colOff>693420</xdr:colOff>
                    <xdr:row>0</xdr:row>
                    <xdr:rowOff>60960</xdr:rowOff>
                  </from>
                  <to>
                    <xdr:col>11</xdr:col>
                    <xdr:colOff>396240</xdr:colOff>
                    <xdr:row>0</xdr:row>
                    <xdr:rowOff>457200</xdr:rowOff>
                  </to>
                </anchor>
              </controlPr>
            </control>
          </mc:Choice>
        </mc:AlternateContent>
        <mc:AlternateContent xmlns:mc="http://schemas.openxmlformats.org/markup-compatibility/2006">
          <mc:Choice Requires="x14">
            <control shapeId="6156" r:id="rId9" name="Button 12">
              <controlPr defaultSize="0" print="0" autoFill="0" autoLine="0" autoPict="0" macro="[0]!Vai_Rurali">
                <anchor moveWithCells="1" sizeWithCells="1">
                  <from>
                    <xdr:col>2</xdr:col>
                    <xdr:colOff>533400</xdr:colOff>
                    <xdr:row>0</xdr:row>
                    <xdr:rowOff>60960</xdr:rowOff>
                  </from>
                  <to>
                    <xdr:col>4</xdr:col>
                    <xdr:colOff>152400</xdr:colOff>
                    <xdr:row>0</xdr:row>
                    <xdr:rowOff>457200</xdr:rowOff>
                  </to>
                </anchor>
              </controlPr>
            </control>
          </mc:Choice>
        </mc:AlternateContent>
        <mc:AlternateContent xmlns:mc="http://schemas.openxmlformats.org/markup-compatibility/2006">
          <mc:Choice Requires="x14">
            <control shapeId="6162" r:id="rId10" name="Button 18">
              <controlPr defaultSize="0" print="0" autoFill="0" autoLine="0" autoPict="0" macro="[0]!Azzera_abitaz_princ">
                <anchor moveWithCells="1" sizeWithCells="1">
                  <from>
                    <xdr:col>11</xdr:col>
                    <xdr:colOff>586740</xdr:colOff>
                    <xdr:row>0</xdr:row>
                    <xdr:rowOff>60960</xdr:rowOff>
                  </from>
                  <to>
                    <xdr:col>15</xdr:col>
                    <xdr:colOff>53340</xdr:colOff>
                    <xdr:row>0</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4F7A7-32E6-4E3A-A478-2E9D345BCCAE}">
  <sheetPr codeName="Foglio5"/>
  <dimension ref="A1:Y30"/>
  <sheetViews>
    <sheetView showGridLines="0" showRowColHeaders="0" showZeros="0" zoomScaleNormal="100" workbookViewId="0">
      <pane ySplit="4" topLeftCell="A5" activePane="bottomLeft" state="frozen"/>
      <selection pane="bottomLeft" activeCell="B5" sqref="B5"/>
    </sheetView>
  </sheetViews>
  <sheetFormatPr defaultColWidth="9.21875" defaultRowHeight="13.2" x14ac:dyDescent="0.25"/>
  <cols>
    <col min="1" max="1" width="3.44140625" style="45" customWidth="1"/>
    <col min="2" max="2" width="18.88671875" style="45" customWidth="1"/>
    <col min="3" max="3" width="25" style="45" customWidth="1"/>
    <col min="4" max="4" width="13.21875" style="45" customWidth="1"/>
    <col min="5" max="6" width="13.44140625" style="45" customWidth="1"/>
    <col min="7" max="7" width="6.5546875" style="45" customWidth="1"/>
    <col min="8" max="9" width="5.5546875" style="45" customWidth="1"/>
    <col min="10" max="11" width="10" style="45" customWidth="1"/>
    <col min="12" max="12" width="8.77734375" style="45" customWidth="1"/>
    <col min="13" max="13" width="14.44140625" style="45" hidden="1" customWidth="1"/>
    <col min="14" max="14" width="19.21875" style="45" hidden="1" customWidth="1"/>
    <col min="15" max="15" width="11.5546875" style="45" customWidth="1"/>
    <col min="16" max="16" width="9.21875" style="45" customWidth="1"/>
    <col min="17" max="21" width="9.21875" style="45" hidden="1" customWidth="1"/>
    <col min="22" max="23" width="9.21875" style="45" customWidth="1"/>
    <col min="24" max="25" width="14.44140625" style="45" hidden="1" customWidth="1"/>
    <col min="26" max="16384" width="9.21875" style="45"/>
  </cols>
  <sheetData>
    <row r="1" spans="1:25" ht="39" customHeight="1" x14ac:dyDescent="0.25"/>
    <row r="2" spans="1:25" ht="30" customHeight="1" x14ac:dyDescent="0.25">
      <c r="A2" s="46" t="str">
        <f>CONCATENATE("ALTRI FABBRICATI", " - Contribuente: ", Home!D8)</f>
        <v xml:space="preserve">ALTRI FABBRICATI - Contribuente: </v>
      </c>
      <c r="V2" s="94"/>
      <c r="W2" s="94"/>
    </row>
    <row r="3" spans="1:25" ht="18" customHeight="1" x14ac:dyDescent="0.25">
      <c r="A3" s="51" t="s">
        <v>102</v>
      </c>
      <c r="B3" s="51" t="s">
        <v>78</v>
      </c>
      <c r="C3" s="51" t="s">
        <v>11</v>
      </c>
      <c r="D3" s="51" t="s">
        <v>135</v>
      </c>
      <c r="E3" s="51" t="s">
        <v>133</v>
      </c>
      <c r="F3" s="51" t="s">
        <v>136</v>
      </c>
      <c r="G3" s="51" t="s">
        <v>89</v>
      </c>
      <c r="H3" s="51" t="s">
        <v>88</v>
      </c>
      <c r="I3" s="51" t="s">
        <v>87</v>
      </c>
      <c r="J3" s="51" t="s">
        <v>23</v>
      </c>
      <c r="K3" s="51" t="s">
        <v>85</v>
      </c>
      <c r="L3" s="51" t="s">
        <v>85</v>
      </c>
      <c r="M3" s="52" t="s">
        <v>6</v>
      </c>
      <c r="N3" s="52" t="s">
        <v>60</v>
      </c>
      <c r="O3" s="51" t="s">
        <v>17</v>
      </c>
      <c r="P3" s="51" t="s">
        <v>9</v>
      </c>
      <c r="Q3" s="52" t="s">
        <v>45</v>
      </c>
      <c r="R3" s="52" t="s">
        <v>45</v>
      </c>
      <c r="S3" s="52" t="s">
        <v>144</v>
      </c>
      <c r="T3" s="52" t="s">
        <v>144</v>
      </c>
      <c r="U3" s="52" t="s">
        <v>9</v>
      </c>
      <c r="V3" s="51" t="s">
        <v>9</v>
      </c>
      <c r="W3" s="51" t="s">
        <v>10</v>
      </c>
      <c r="X3" s="52" t="s">
        <v>71</v>
      </c>
      <c r="Y3" s="52" t="s">
        <v>71</v>
      </c>
    </row>
    <row r="4" spans="1:25" ht="18" customHeight="1" x14ac:dyDescent="0.25">
      <c r="A4" s="53"/>
      <c r="B4" s="53" t="s">
        <v>77</v>
      </c>
      <c r="C4" s="53"/>
      <c r="D4" s="53" t="s">
        <v>61</v>
      </c>
      <c r="E4" s="53" t="s">
        <v>134</v>
      </c>
      <c r="F4" s="53" t="s">
        <v>137</v>
      </c>
      <c r="G4" s="53" t="s">
        <v>87</v>
      </c>
      <c r="H4" s="53" t="s">
        <v>148</v>
      </c>
      <c r="I4" s="53" t="s">
        <v>149</v>
      </c>
      <c r="J4" s="53" t="s">
        <v>24</v>
      </c>
      <c r="K4" s="53" t="s">
        <v>126</v>
      </c>
      <c r="L4" s="53" t="s">
        <v>127</v>
      </c>
      <c r="M4" s="54" t="s">
        <v>7</v>
      </c>
      <c r="N4" s="54" t="s">
        <v>59</v>
      </c>
      <c r="O4" s="53" t="s">
        <v>9</v>
      </c>
      <c r="P4" s="53" t="s">
        <v>98</v>
      </c>
      <c r="Q4" s="54" t="s">
        <v>80</v>
      </c>
      <c r="R4" s="54" t="s">
        <v>75</v>
      </c>
      <c r="S4" s="54" t="s">
        <v>80</v>
      </c>
      <c r="T4" s="54" t="s">
        <v>75</v>
      </c>
      <c r="U4" s="54" t="s">
        <v>138</v>
      </c>
      <c r="V4" s="53" t="s">
        <v>121</v>
      </c>
      <c r="W4" s="53" t="s">
        <v>9</v>
      </c>
      <c r="X4" s="54" t="s">
        <v>72</v>
      </c>
      <c r="Y4" s="54" t="s">
        <v>73</v>
      </c>
    </row>
    <row r="5" spans="1:25" ht="18" customHeight="1" x14ac:dyDescent="0.25">
      <c r="A5" s="55">
        <v>1</v>
      </c>
      <c r="B5" s="50"/>
      <c r="C5" s="50"/>
      <c r="D5" s="50"/>
      <c r="E5" s="50"/>
      <c r="F5" s="50"/>
      <c r="G5" s="56"/>
      <c r="H5" s="57"/>
      <c r="I5" s="57"/>
      <c r="J5" s="23"/>
      <c r="K5" s="59"/>
      <c r="L5" s="59"/>
      <c r="M5" s="68">
        <f t="shared" ref="M5:M29" si="0">IF(J5&gt;0,IF(C5=0,0,IF(C5=1,160,IF(C5=2,140,IF(C5=3,140,IF(C5=4,80,IF(C5=5,65,IF(C5=6,55,0))))))),0)</f>
        <v>0</v>
      </c>
      <c r="N5" s="60">
        <f t="shared" ref="N5:N29" si="1">ROUND(IF(J5=0,0,(J5*G5/100)*1.05*M5),2)</f>
        <v>0</v>
      </c>
      <c r="O5" s="61">
        <f>IF(AND(D5=1,E5=1),N5,IF(AND(D5=2,E5=1),N5/2,IF(AND(D5=1,E5=2),N5/2,IF(AND(D5=2,E5=2),N5/4,0))))</f>
        <v>0</v>
      </c>
      <c r="P5" s="61">
        <f>ROUND(IF(F5=2,((O5*(K5/100)*(H5/6)))*0.75,((O5*(K5/100)*(H5/12)))),2)</f>
        <v>0</v>
      </c>
      <c r="Q5" s="60">
        <f>IF(C5=5,IF(K5&gt;0.76,P5-R5,0),0)</f>
        <v>0</v>
      </c>
      <c r="R5" s="60">
        <f>IF(C5=5,IF(K5&gt;0.76,(O5*(0.76/100)*(H5/12)),P5),0)</f>
        <v>0</v>
      </c>
      <c r="S5" s="60">
        <f>IF(C5=5,IF(L5&gt;0.76,V5-T5,0),0)</f>
        <v>0</v>
      </c>
      <c r="T5" s="60">
        <f>IF(C5=5,IF(L5&gt;0.76,(O5*(0.76/100)*((H5+I5)/12))-R5,V5),0)</f>
        <v>0</v>
      </c>
      <c r="U5" s="60">
        <f>ROUND(IF(F5=2,((O5*(L5/100)*((H5+I5)/12)))*0.75,((O5*(L5/100)*((H5+I5)/12)))),2)</f>
        <v>0</v>
      </c>
      <c r="V5" s="61">
        <f t="shared" ref="V5:V29" si="2">IF(U5-P5&gt;0,U5-P5,0)</f>
        <v>0</v>
      </c>
      <c r="W5" s="61">
        <f t="shared" ref="W5:W29" si="3">P5+V5</f>
        <v>0</v>
      </c>
      <c r="X5" s="62">
        <f t="shared" ref="X5:X29" si="4">IF(P5&gt;0,1,0)</f>
        <v>0</v>
      </c>
      <c r="Y5" s="62">
        <f>IF(V5&gt;0,1,0)</f>
        <v>0</v>
      </c>
    </row>
    <row r="6" spans="1:25" ht="18" customHeight="1" x14ac:dyDescent="0.25">
      <c r="A6" s="55">
        <v>2</v>
      </c>
      <c r="B6" s="50"/>
      <c r="C6" s="50"/>
      <c r="D6" s="50"/>
      <c r="E6" s="50"/>
      <c r="F6" s="50"/>
      <c r="G6" s="56"/>
      <c r="H6" s="57"/>
      <c r="I6" s="57"/>
      <c r="J6" s="23"/>
      <c r="K6" s="59"/>
      <c r="L6" s="59"/>
      <c r="M6" s="68">
        <f t="shared" si="0"/>
        <v>0</v>
      </c>
      <c r="N6" s="60">
        <f t="shared" si="1"/>
        <v>0</v>
      </c>
      <c r="O6" s="61">
        <f t="shared" ref="O6:O29" si="5">IF(AND(D6=1,E6=1),N6,IF(AND(D6=2,E6=1),N6/2,IF(AND(D6=1,E6=2),N6/2,IF(AND(D6=2,E6=2),N6/4,0))))</f>
        <v>0</v>
      </c>
      <c r="P6" s="61">
        <f t="shared" ref="P6:P29" si="6">ROUND(IF(F6=2,((O6*(K6/100)*(H6/6)))*0.75,((O6*(K6/100)*(H6/12)))),2)</f>
        <v>0</v>
      </c>
      <c r="Q6" s="60">
        <f t="shared" ref="Q6:Q29" si="7">IF(C6=5,IF(K6&gt;0.76,P6-R6,0),0)</f>
        <v>0</v>
      </c>
      <c r="R6" s="60">
        <f t="shared" ref="R6:R29" si="8">IF(C6=5,IF(K6&gt;0.76,(O6*(0.76/100)*(H6/12)),P6),0)</f>
        <v>0</v>
      </c>
      <c r="S6" s="60">
        <f t="shared" ref="S6:S29" si="9">IF(C6=5,IF(L6&gt;0.76,V6-T6,0),0)</f>
        <v>0</v>
      </c>
      <c r="T6" s="60">
        <f t="shared" ref="T6:T29" si="10">IF(C6=5,IF(L6&gt;0.76,(O6*(0.76/100)*((H6+I6)/12))-R6,V6),0)</f>
        <v>0</v>
      </c>
      <c r="U6" s="60">
        <f t="shared" ref="U6:U29" si="11">ROUND(IF(F6=2,((O6*(L6/100)*((H6+I6)/12)))*0.75,((O6*(L6/100)*((H6+I6)/12)))),2)</f>
        <v>0</v>
      </c>
      <c r="V6" s="61">
        <f t="shared" si="2"/>
        <v>0</v>
      </c>
      <c r="W6" s="61">
        <f t="shared" si="3"/>
        <v>0</v>
      </c>
      <c r="X6" s="62">
        <f t="shared" si="4"/>
        <v>0</v>
      </c>
      <c r="Y6" s="62">
        <f t="shared" ref="Y6:Y29" si="12">IF(V6&gt;0,1,0)</f>
        <v>0</v>
      </c>
    </row>
    <row r="7" spans="1:25" ht="18" customHeight="1" x14ac:dyDescent="0.25">
      <c r="A7" s="55">
        <v>3</v>
      </c>
      <c r="B7" s="50"/>
      <c r="C7" s="50"/>
      <c r="D7" s="50"/>
      <c r="E7" s="50"/>
      <c r="F7" s="50"/>
      <c r="G7" s="56"/>
      <c r="H7" s="57"/>
      <c r="I7" s="57"/>
      <c r="J7" s="23"/>
      <c r="K7" s="59"/>
      <c r="L7" s="59"/>
      <c r="M7" s="68">
        <f t="shared" si="0"/>
        <v>0</v>
      </c>
      <c r="N7" s="60">
        <f t="shared" si="1"/>
        <v>0</v>
      </c>
      <c r="O7" s="61">
        <f t="shared" si="5"/>
        <v>0</v>
      </c>
      <c r="P7" s="61">
        <f t="shared" si="6"/>
        <v>0</v>
      </c>
      <c r="Q7" s="60">
        <f t="shared" si="7"/>
        <v>0</v>
      </c>
      <c r="R7" s="60">
        <f t="shared" si="8"/>
        <v>0</v>
      </c>
      <c r="S7" s="60">
        <f t="shared" si="9"/>
        <v>0</v>
      </c>
      <c r="T7" s="60">
        <f t="shared" si="10"/>
        <v>0</v>
      </c>
      <c r="U7" s="60">
        <f t="shared" si="11"/>
        <v>0</v>
      </c>
      <c r="V7" s="61">
        <f t="shared" si="2"/>
        <v>0</v>
      </c>
      <c r="W7" s="61">
        <f t="shared" si="3"/>
        <v>0</v>
      </c>
      <c r="X7" s="62">
        <f t="shared" si="4"/>
        <v>0</v>
      </c>
      <c r="Y7" s="62">
        <f t="shared" si="12"/>
        <v>0</v>
      </c>
    </row>
    <row r="8" spans="1:25" ht="18" customHeight="1" x14ac:dyDescent="0.25">
      <c r="A8" s="55">
        <v>4</v>
      </c>
      <c r="B8" s="50"/>
      <c r="C8" s="50"/>
      <c r="D8" s="50"/>
      <c r="E8" s="50"/>
      <c r="F8" s="50"/>
      <c r="G8" s="56"/>
      <c r="H8" s="57"/>
      <c r="I8" s="57"/>
      <c r="J8" s="23"/>
      <c r="K8" s="59"/>
      <c r="L8" s="59"/>
      <c r="M8" s="68">
        <f t="shared" si="0"/>
        <v>0</v>
      </c>
      <c r="N8" s="60">
        <f t="shared" si="1"/>
        <v>0</v>
      </c>
      <c r="O8" s="61">
        <f t="shared" si="5"/>
        <v>0</v>
      </c>
      <c r="P8" s="61">
        <f t="shared" si="6"/>
        <v>0</v>
      </c>
      <c r="Q8" s="60">
        <f t="shared" si="7"/>
        <v>0</v>
      </c>
      <c r="R8" s="60">
        <f t="shared" si="8"/>
        <v>0</v>
      </c>
      <c r="S8" s="60">
        <f t="shared" si="9"/>
        <v>0</v>
      </c>
      <c r="T8" s="60">
        <f t="shared" si="10"/>
        <v>0</v>
      </c>
      <c r="U8" s="60">
        <f t="shared" si="11"/>
        <v>0</v>
      </c>
      <c r="V8" s="61">
        <f t="shared" si="2"/>
        <v>0</v>
      </c>
      <c r="W8" s="61">
        <f t="shared" si="3"/>
        <v>0</v>
      </c>
      <c r="X8" s="62">
        <f t="shared" si="4"/>
        <v>0</v>
      </c>
      <c r="Y8" s="62">
        <f t="shared" si="12"/>
        <v>0</v>
      </c>
    </row>
    <row r="9" spans="1:25" ht="18" customHeight="1" x14ac:dyDescent="0.25">
      <c r="A9" s="55">
        <v>5</v>
      </c>
      <c r="B9" s="50"/>
      <c r="C9" s="50"/>
      <c r="D9" s="50"/>
      <c r="E9" s="50"/>
      <c r="F9" s="50"/>
      <c r="G9" s="56"/>
      <c r="H9" s="57"/>
      <c r="I9" s="57"/>
      <c r="J9" s="23"/>
      <c r="K9" s="59"/>
      <c r="L9" s="59"/>
      <c r="M9" s="68">
        <f t="shared" si="0"/>
        <v>0</v>
      </c>
      <c r="N9" s="60">
        <f t="shared" si="1"/>
        <v>0</v>
      </c>
      <c r="O9" s="61">
        <f t="shared" si="5"/>
        <v>0</v>
      </c>
      <c r="P9" s="61">
        <f t="shared" si="6"/>
        <v>0</v>
      </c>
      <c r="Q9" s="60">
        <f t="shared" si="7"/>
        <v>0</v>
      </c>
      <c r="R9" s="60">
        <f t="shared" si="8"/>
        <v>0</v>
      </c>
      <c r="S9" s="60">
        <f t="shared" si="9"/>
        <v>0</v>
      </c>
      <c r="T9" s="60">
        <f t="shared" si="10"/>
        <v>0</v>
      </c>
      <c r="U9" s="60">
        <f t="shared" si="11"/>
        <v>0</v>
      </c>
      <c r="V9" s="61">
        <f t="shared" si="2"/>
        <v>0</v>
      </c>
      <c r="W9" s="61">
        <f t="shared" si="3"/>
        <v>0</v>
      </c>
      <c r="X9" s="62">
        <f t="shared" si="4"/>
        <v>0</v>
      </c>
      <c r="Y9" s="62">
        <f t="shared" si="12"/>
        <v>0</v>
      </c>
    </row>
    <row r="10" spans="1:25" ht="18" customHeight="1" x14ac:dyDescent="0.25">
      <c r="A10" s="55">
        <v>6</v>
      </c>
      <c r="B10" s="50"/>
      <c r="C10" s="50"/>
      <c r="D10" s="50"/>
      <c r="E10" s="50"/>
      <c r="F10" s="50"/>
      <c r="G10" s="56"/>
      <c r="H10" s="57"/>
      <c r="I10" s="57"/>
      <c r="J10" s="23"/>
      <c r="K10" s="59"/>
      <c r="L10" s="59"/>
      <c r="M10" s="68">
        <f t="shared" si="0"/>
        <v>0</v>
      </c>
      <c r="N10" s="60">
        <f t="shared" si="1"/>
        <v>0</v>
      </c>
      <c r="O10" s="61">
        <f t="shared" si="5"/>
        <v>0</v>
      </c>
      <c r="P10" s="61">
        <f t="shared" si="6"/>
        <v>0</v>
      </c>
      <c r="Q10" s="60">
        <f t="shared" si="7"/>
        <v>0</v>
      </c>
      <c r="R10" s="60">
        <f t="shared" si="8"/>
        <v>0</v>
      </c>
      <c r="S10" s="60">
        <f t="shared" si="9"/>
        <v>0</v>
      </c>
      <c r="T10" s="60">
        <f t="shared" si="10"/>
        <v>0</v>
      </c>
      <c r="U10" s="60">
        <f t="shared" si="11"/>
        <v>0</v>
      </c>
      <c r="V10" s="61">
        <f t="shared" si="2"/>
        <v>0</v>
      </c>
      <c r="W10" s="61">
        <f t="shared" si="3"/>
        <v>0</v>
      </c>
      <c r="X10" s="62">
        <f t="shared" si="4"/>
        <v>0</v>
      </c>
      <c r="Y10" s="62">
        <f t="shared" si="12"/>
        <v>0</v>
      </c>
    </row>
    <row r="11" spans="1:25" ht="18" customHeight="1" x14ac:dyDescent="0.25">
      <c r="A11" s="55">
        <v>7</v>
      </c>
      <c r="B11" s="50"/>
      <c r="C11" s="50"/>
      <c r="D11" s="50"/>
      <c r="E11" s="50"/>
      <c r="F11" s="50"/>
      <c r="G11" s="56"/>
      <c r="H11" s="57"/>
      <c r="I11" s="57"/>
      <c r="J11" s="23"/>
      <c r="K11" s="59"/>
      <c r="L11" s="59"/>
      <c r="M11" s="68">
        <f t="shared" si="0"/>
        <v>0</v>
      </c>
      <c r="N11" s="60">
        <f t="shared" si="1"/>
        <v>0</v>
      </c>
      <c r="O11" s="61">
        <f t="shared" si="5"/>
        <v>0</v>
      </c>
      <c r="P11" s="61">
        <f t="shared" si="6"/>
        <v>0</v>
      </c>
      <c r="Q11" s="60">
        <f t="shared" si="7"/>
        <v>0</v>
      </c>
      <c r="R11" s="60">
        <f t="shared" si="8"/>
        <v>0</v>
      </c>
      <c r="S11" s="60">
        <f t="shared" si="9"/>
        <v>0</v>
      </c>
      <c r="T11" s="60">
        <f t="shared" si="10"/>
        <v>0</v>
      </c>
      <c r="U11" s="60">
        <f t="shared" si="11"/>
        <v>0</v>
      </c>
      <c r="V11" s="61">
        <f t="shared" si="2"/>
        <v>0</v>
      </c>
      <c r="W11" s="61">
        <f t="shared" si="3"/>
        <v>0</v>
      </c>
      <c r="X11" s="62">
        <f t="shared" si="4"/>
        <v>0</v>
      </c>
      <c r="Y11" s="62">
        <f t="shared" si="12"/>
        <v>0</v>
      </c>
    </row>
    <row r="12" spans="1:25" ht="18" customHeight="1" x14ac:dyDescent="0.25">
      <c r="A12" s="55">
        <v>8</v>
      </c>
      <c r="B12" s="50"/>
      <c r="C12" s="50"/>
      <c r="D12" s="50"/>
      <c r="E12" s="50"/>
      <c r="F12" s="50"/>
      <c r="G12" s="56"/>
      <c r="H12" s="57"/>
      <c r="I12" s="57"/>
      <c r="J12" s="23"/>
      <c r="K12" s="59"/>
      <c r="L12" s="59"/>
      <c r="M12" s="68">
        <f t="shared" si="0"/>
        <v>0</v>
      </c>
      <c r="N12" s="60">
        <f t="shared" si="1"/>
        <v>0</v>
      </c>
      <c r="O12" s="61">
        <f t="shared" si="5"/>
        <v>0</v>
      </c>
      <c r="P12" s="61">
        <f t="shared" si="6"/>
        <v>0</v>
      </c>
      <c r="Q12" s="60">
        <f t="shared" si="7"/>
        <v>0</v>
      </c>
      <c r="R12" s="60">
        <f t="shared" si="8"/>
        <v>0</v>
      </c>
      <c r="S12" s="60">
        <f t="shared" si="9"/>
        <v>0</v>
      </c>
      <c r="T12" s="60">
        <f t="shared" si="10"/>
        <v>0</v>
      </c>
      <c r="U12" s="60">
        <f t="shared" si="11"/>
        <v>0</v>
      </c>
      <c r="V12" s="61">
        <f t="shared" si="2"/>
        <v>0</v>
      </c>
      <c r="W12" s="61">
        <f t="shared" si="3"/>
        <v>0</v>
      </c>
      <c r="X12" s="62">
        <f t="shared" si="4"/>
        <v>0</v>
      </c>
      <c r="Y12" s="62">
        <f t="shared" si="12"/>
        <v>0</v>
      </c>
    </row>
    <row r="13" spans="1:25" ht="18" customHeight="1" x14ac:dyDescent="0.25">
      <c r="A13" s="55">
        <v>9</v>
      </c>
      <c r="B13" s="50"/>
      <c r="C13" s="50"/>
      <c r="D13" s="50"/>
      <c r="E13" s="50"/>
      <c r="F13" s="50"/>
      <c r="G13" s="56"/>
      <c r="H13" s="57"/>
      <c r="I13" s="57"/>
      <c r="J13" s="23"/>
      <c r="K13" s="59"/>
      <c r="L13" s="59"/>
      <c r="M13" s="68">
        <f t="shared" si="0"/>
        <v>0</v>
      </c>
      <c r="N13" s="60">
        <f t="shared" si="1"/>
        <v>0</v>
      </c>
      <c r="O13" s="61">
        <f t="shared" si="5"/>
        <v>0</v>
      </c>
      <c r="P13" s="61">
        <f t="shared" si="6"/>
        <v>0</v>
      </c>
      <c r="Q13" s="60">
        <f t="shared" si="7"/>
        <v>0</v>
      </c>
      <c r="R13" s="60">
        <f t="shared" si="8"/>
        <v>0</v>
      </c>
      <c r="S13" s="60">
        <f t="shared" si="9"/>
        <v>0</v>
      </c>
      <c r="T13" s="60">
        <f t="shared" si="10"/>
        <v>0</v>
      </c>
      <c r="U13" s="60">
        <f t="shared" si="11"/>
        <v>0</v>
      </c>
      <c r="V13" s="61">
        <f t="shared" si="2"/>
        <v>0</v>
      </c>
      <c r="W13" s="61">
        <f t="shared" si="3"/>
        <v>0</v>
      </c>
      <c r="X13" s="62">
        <f t="shared" si="4"/>
        <v>0</v>
      </c>
      <c r="Y13" s="62">
        <f t="shared" si="12"/>
        <v>0</v>
      </c>
    </row>
    <row r="14" spans="1:25" ht="18" customHeight="1" x14ac:dyDescent="0.25">
      <c r="A14" s="63">
        <v>10</v>
      </c>
      <c r="B14" s="50"/>
      <c r="C14" s="50"/>
      <c r="D14" s="50"/>
      <c r="E14" s="50"/>
      <c r="F14" s="50"/>
      <c r="G14" s="56"/>
      <c r="H14" s="57"/>
      <c r="I14" s="57"/>
      <c r="J14" s="23"/>
      <c r="K14" s="59"/>
      <c r="L14" s="59"/>
      <c r="M14" s="68">
        <f t="shared" si="0"/>
        <v>0</v>
      </c>
      <c r="N14" s="60">
        <f t="shared" si="1"/>
        <v>0</v>
      </c>
      <c r="O14" s="61">
        <f t="shared" si="5"/>
        <v>0</v>
      </c>
      <c r="P14" s="61">
        <f t="shared" si="6"/>
        <v>0</v>
      </c>
      <c r="Q14" s="60">
        <f t="shared" si="7"/>
        <v>0</v>
      </c>
      <c r="R14" s="60">
        <f t="shared" si="8"/>
        <v>0</v>
      </c>
      <c r="S14" s="60">
        <f t="shared" si="9"/>
        <v>0</v>
      </c>
      <c r="T14" s="60">
        <f t="shared" si="10"/>
        <v>0</v>
      </c>
      <c r="U14" s="60">
        <f t="shared" si="11"/>
        <v>0</v>
      </c>
      <c r="V14" s="61">
        <f t="shared" si="2"/>
        <v>0</v>
      </c>
      <c r="W14" s="61">
        <f t="shared" si="3"/>
        <v>0</v>
      </c>
      <c r="X14" s="62">
        <f t="shared" si="4"/>
        <v>0</v>
      </c>
      <c r="Y14" s="62">
        <f t="shared" si="12"/>
        <v>0</v>
      </c>
    </row>
    <row r="15" spans="1:25" ht="18" customHeight="1" x14ac:dyDescent="0.25">
      <c r="A15" s="55">
        <v>11</v>
      </c>
      <c r="B15" s="50"/>
      <c r="C15" s="50"/>
      <c r="D15" s="50"/>
      <c r="E15" s="50"/>
      <c r="F15" s="50"/>
      <c r="G15" s="56"/>
      <c r="H15" s="57"/>
      <c r="I15" s="57"/>
      <c r="J15" s="23"/>
      <c r="K15" s="59"/>
      <c r="L15" s="59"/>
      <c r="M15" s="68">
        <f t="shared" si="0"/>
        <v>0</v>
      </c>
      <c r="N15" s="60">
        <f t="shared" si="1"/>
        <v>0</v>
      </c>
      <c r="O15" s="61">
        <f t="shared" si="5"/>
        <v>0</v>
      </c>
      <c r="P15" s="61">
        <f t="shared" si="6"/>
        <v>0</v>
      </c>
      <c r="Q15" s="60">
        <f t="shared" si="7"/>
        <v>0</v>
      </c>
      <c r="R15" s="60">
        <f t="shared" si="8"/>
        <v>0</v>
      </c>
      <c r="S15" s="60">
        <f t="shared" si="9"/>
        <v>0</v>
      </c>
      <c r="T15" s="60">
        <f t="shared" si="10"/>
        <v>0</v>
      </c>
      <c r="U15" s="60">
        <f t="shared" si="11"/>
        <v>0</v>
      </c>
      <c r="V15" s="61">
        <f t="shared" si="2"/>
        <v>0</v>
      </c>
      <c r="W15" s="61">
        <f t="shared" si="3"/>
        <v>0</v>
      </c>
      <c r="X15" s="62">
        <f t="shared" si="4"/>
        <v>0</v>
      </c>
      <c r="Y15" s="62">
        <f t="shared" si="12"/>
        <v>0</v>
      </c>
    </row>
    <row r="16" spans="1:25" ht="18" customHeight="1" x14ac:dyDescent="0.25">
      <c r="A16" s="55">
        <v>12</v>
      </c>
      <c r="B16" s="50"/>
      <c r="C16" s="50"/>
      <c r="D16" s="50"/>
      <c r="E16" s="50"/>
      <c r="F16" s="50"/>
      <c r="G16" s="56"/>
      <c r="H16" s="57"/>
      <c r="I16" s="57"/>
      <c r="J16" s="23"/>
      <c r="K16" s="59"/>
      <c r="L16" s="59"/>
      <c r="M16" s="68">
        <f t="shared" si="0"/>
        <v>0</v>
      </c>
      <c r="N16" s="60">
        <f t="shared" si="1"/>
        <v>0</v>
      </c>
      <c r="O16" s="61">
        <f t="shared" si="5"/>
        <v>0</v>
      </c>
      <c r="P16" s="61">
        <f t="shared" si="6"/>
        <v>0</v>
      </c>
      <c r="Q16" s="60">
        <f t="shared" si="7"/>
        <v>0</v>
      </c>
      <c r="R16" s="60">
        <f t="shared" si="8"/>
        <v>0</v>
      </c>
      <c r="S16" s="60">
        <f t="shared" si="9"/>
        <v>0</v>
      </c>
      <c r="T16" s="60">
        <f t="shared" si="10"/>
        <v>0</v>
      </c>
      <c r="U16" s="60">
        <f t="shared" si="11"/>
        <v>0</v>
      </c>
      <c r="V16" s="61">
        <f t="shared" si="2"/>
        <v>0</v>
      </c>
      <c r="W16" s="61">
        <f t="shared" si="3"/>
        <v>0</v>
      </c>
      <c r="X16" s="62">
        <f t="shared" si="4"/>
        <v>0</v>
      </c>
      <c r="Y16" s="62">
        <f t="shared" si="12"/>
        <v>0</v>
      </c>
    </row>
    <row r="17" spans="1:25" ht="18" customHeight="1" x14ac:dyDescent="0.25">
      <c r="A17" s="55">
        <v>13</v>
      </c>
      <c r="B17" s="50"/>
      <c r="C17" s="50"/>
      <c r="D17" s="50"/>
      <c r="E17" s="50"/>
      <c r="F17" s="50"/>
      <c r="G17" s="56"/>
      <c r="H17" s="57"/>
      <c r="I17" s="57"/>
      <c r="J17" s="23"/>
      <c r="K17" s="59"/>
      <c r="L17" s="59"/>
      <c r="M17" s="68">
        <f t="shared" si="0"/>
        <v>0</v>
      </c>
      <c r="N17" s="60">
        <f t="shared" si="1"/>
        <v>0</v>
      </c>
      <c r="O17" s="61">
        <f t="shared" si="5"/>
        <v>0</v>
      </c>
      <c r="P17" s="61">
        <f t="shared" si="6"/>
        <v>0</v>
      </c>
      <c r="Q17" s="60">
        <f t="shared" si="7"/>
        <v>0</v>
      </c>
      <c r="R17" s="60">
        <f t="shared" si="8"/>
        <v>0</v>
      </c>
      <c r="S17" s="60">
        <f t="shared" si="9"/>
        <v>0</v>
      </c>
      <c r="T17" s="60">
        <f t="shared" si="10"/>
        <v>0</v>
      </c>
      <c r="U17" s="60">
        <f t="shared" si="11"/>
        <v>0</v>
      </c>
      <c r="V17" s="61">
        <f t="shared" si="2"/>
        <v>0</v>
      </c>
      <c r="W17" s="61">
        <f t="shared" si="3"/>
        <v>0</v>
      </c>
      <c r="X17" s="62">
        <f t="shared" si="4"/>
        <v>0</v>
      </c>
      <c r="Y17" s="62">
        <f t="shared" si="12"/>
        <v>0</v>
      </c>
    </row>
    <row r="18" spans="1:25" ht="18" customHeight="1" x14ac:dyDescent="0.25">
      <c r="A18" s="63">
        <v>14</v>
      </c>
      <c r="B18" s="50"/>
      <c r="C18" s="50"/>
      <c r="D18" s="50"/>
      <c r="E18" s="50"/>
      <c r="F18" s="50"/>
      <c r="G18" s="56"/>
      <c r="H18" s="57"/>
      <c r="I18" s="57"/>
      <c r="J18" s="23"/>
      <c r="K18" s="59"/>
      <c r="L18" s="59"/>
      <c r="M18" s="68">
        <f t="shared" si="0"/>
        <v>0</v>
      </c>
      <c r="N18" s="60">
        <f t="shared" si="1"/>
        <v>0</v>
      </c>
      <c r="O18" s="61">
        <f t="shared" si="5"/>
        <v>0</v>
      </c>
      <c r="P18" s="61">
        <f t="shared" si="6"/>
        <v>0</v>
      </c>
      <c r="Q18" s="60">
        <f t="shared" si="7"/>
        <v>0</v>
      </c>
      <c r="R18" s="60">
        <f t="shared" si="8"/>
        <v>0</v>
      </c>
      <c r="S18" s="60">
        <f t="shared" si="9"/>
        <v>0</v>
      </c>
      <c r="T18" s="60">
        <f t="shared" si="10"/>
        <v>0</v>
      </c>
      <c r="U18" s="60">
        <f t="shared" si="11"/>
        <v>0</v>
      </c>
      <c r="V18" s="61">
        <f t="shared" si="2"/>
        <v>0</v>
      </c>
      <c r="W18" s="61">
        <f t="shared" si="3"/>
        <v>0</v>
      </c>
      <c r="X18" s="62">
        <f t="shared" si="4"/>
        <v>0</v>
      </c>
      <c r="Y18" s="62">
        <f t="shared" si="12"/>
        <v>0</v>
      </c>
    </row>
    <row r="19" spans="1:25" ht="18" customHeight="1" x14ac:dyDescent="0.25">
      <c r="A19" s="55">
        <v>15</v>
      </c>
      <c r="B19" s="50"/>
      <c r="C19" s="50"/>
      <c r="D19" s="50"/>
      <c r="E19" s="50"/>
      <c r="F19" s="50"/>
      <c r="G19" s="56"/>
      <c r="H19" s="57"/>
      <c r="I19" s="57"/>
      <c r="J19" s="23"/>
      <c r="K19" s="59"/>
      <c r="L19" s="59"/>
      <c r="M19" s="68">
        <f t="shared" si="0"/>
        <v>0</v>
      </c>
      <c r="N19" s="60">
        <f t="shared" si="1"/>
        <v>0</v>
      </c>
      <c r="O19" s="61">
        <f t="shared" si="5"/>
        <v>0</v>
      </c>
      <c r="P19" s="61">
        <f t="shared" si="6"/>
        <v>0</v>
      </c>
      <c r="Q19" s="60">
        <f t="shared" si="7"/>
        <v>0</v>
      </c>
      <c r="R19" s="60">
        <f t="shared" si="8"/>
        <v>0</v>
      </c>
      <c r="S19" s="60">
        <f t="shared" si="9"/>
        <v>0</v>
      </c>
      <c r="T19" s="60">
        <f t="shared" si="10"/>
        <v>0</v>
      </c>
      <c r="U19" s="60">
        <f t="shared" si="11"/>
        <v>0</v>
      </c>
      <c r="V19" s="61">
        <f t="shared" si="2"/>
        <v>0</v>
      </c>
      <c r="W19" s="61">
        <f t="shared" si="3"/>
        <v>0</v>
      </c>
      <c r="X19" s="62">
        <f t="shared" si="4"/>
        <v>0</v>
      </c>
      <c r="Y19" s="62">
        <f t="shared" si="12"/>
        <v>0</v>
      </c>
    </row>
    <row r="20" spans="1:25" ht="18" customHeight="1" x14ac:dyDescent="0.25">
      <c r="A20" s="55">
        <v>16</v>
      </c>
      <c r="B20" s="50"/>
      <c r="C20" s="50"/>
      <c r="D20" s="50"/>
      <c r="E20" s="50"/>
      <c r="F20" s="50"/>
      <c r="G20" s="56"/>
      <c r="H20" s="57"/>
      <c r="I20" s="57"/>
      <c r="J20" s="23"/>
      <c r="K20" s="59"/>
      <c r="L20" s="59"/>
      <c r="M20" s="68">
        <f t="shared" si="0"/>
        <v>0</v>
      </c>
      <c r="N20" s="60">
        <f t="shared" si="1"/>
        <v>0</v>
      </c>
      <c r="O20" s="61">
        <f t="shared" si="5"/>
        <v>0</v>
      </c>
      <c r="P20" s="61">
        <f t="shared" si="6"/>
        <v>0</v>
      </c>
      <c r="Q20" s="60">
        <f t="shared" si="7"/>
        <v>0</v>
      </c>
      <c r="R20" s="60">
        <f t="shared" si="8"/>
        <v>0</v>
      </c>
      <c r="S20" s="60">
        <f t="shared" si="9"/>
        <v>0</v>
      </c>
      <c r="T20" s="60">
        <f t="shared" si="10"/>
        <v>0</v>
      </c>
      <c r="U20" s="60">
        <f t="shared" si="11"/>
        <v>0</v>
      </c>
      <c r="V20" s="61">
        <f t="shared" si="2"/>
        <v>0</v>
      </c>
      <c r="W20" s="61">
        <f t="shared" si="3"/>
        <v>0</v>
      </c>
      <c r="X20" s="62">
        <f t="shared" si="4"/>
        <v>0</v>
      </c>
      <c r="Y20" s="62">
        <f t="shared" si="12"/>
        <v>0</v>
      </c>
    </row>
    <row r="21" spans="1:25" ht="18" customHeight="1" x14ac:dyDescent="0.25">
      <c r="A21" s="55">
        <v>17</v>
      </c>
      <c r="B21" s="50"/>
      <c r="C21" s="50"/>
      <c r="D21" s="50"/>
      <c r="E21" s="50"/>
      <c r="F21" s="50"/>
      <c r="G21" s="56"/>
      <c r="H21" s="57"/>
      <c r="I21" s="57"/>
      <c r="J21" s="23"/>
      <c r="K21" s="59"/>
      <c r="L21" s="59"/>
      <c r="M21" s="68">
        <f t="shared" si="0"/>
        <v>0</v>
      </c>
      <c r="N21" s="60">
        <f t="shared" si="1"/>
        <v>0</v>
      </c>
      <c r="O21" s="61">
        <f t="shared" si="5"/>
        <v>0</v>
      </c>
      <c r="P21" s="61">
        <f t="shared" si="6"/>
        <v>0</v>
      </c>
      <c r="Q21" s="60">
        <f t="shared" si="7"/>
        <v>0</v>
      </c>
      <c r="R21" s="60">
        <f t="shared" si="8"/>
        <v>0</v>
      </c>
      <c r="S21" s="60">
        <f t="shared" si="9"/>
        <v>0</v>
      </c>
      <c r="T21" s="60">
        <f t="shared" si="10"/>
        <v>0</v>
      </c>
      <c r="U21" s="60">
        <f t="shared" si="11"/>
        <v>0</v>
      </c>
      <c r="V21" s="61">
        <f t="shared" si="2"/>
        <v>0</v>
      </c>
      <c r="W21" s="61">
        <f t="shared" si="3"/>
        <v>0</v>
      </c>
      <c r="X21" s="62">
        <f t="shared" si="4"/>
        <v>0</v>
      </c>
      <c r="Y21" s="62">
        <f t="shared" si="12"/>
        <v>0</v>
      </c>
    </row>
    <row r="22" spans="1:25" ht="18" customHeight="1" x14ac:dyDescent="0.25">
      <c r="A22" s="63">
        <v>18</v>
      </c>
      <c r="B22" s="50"/>
      <c r="C22" s="50"/>
      <c r="D22" s="50"/>
      <c r="E22" s="50"/>
      <c r="F22" s="50"/>
      <c r="G22" s="56"/>
      <c r="H22" s="57"/>
      <c r="I22" s="57"/>
      <c r="J22" s="23"/>
      <c r="K22" s="59"/>
      <c r="L22" s="59"/>
      <c r="M22" s="68">
        <f t="shared" si="0"/>
        <v>0</v>
      </c>
      <c r="N22" s="60">
        <f t="shared" si="1"/>
        <v>0</v>
      </c>
      <c r="O22" s="61">
        <f t="shared" si="5"/>
        <v>0</v>
      </c>
      <c r="P22" s="61">
        <f t="shared" si="6"/>
        <v>0</v>
      </c>
      <c r="Q22" s="60">
        <f t="shared" si="7"/>
        <v>0</v>
      </c>
      <c r="R22" s="60">
        <f t="shared" si="8"/>
        <v>0</v>
      </c>
      <c r="S22" s="60">
        <f t="shared" si="9"/>
        <v>0</v>
      </c>
      <c r="T22" s="60">
        <f t="shared" si="10"/>
        <v>0</v>
      </c>
      <c r="U22" s="60">
        <f t="shared" si="11"/>
        <v>0</v>
      </c>
      <c r="V22" s="61">
        <f t="shared" si="2"/>
        <v>0</v>
      </c>
      <c r="W22" s="61">
        <f t="shared" si="3"/>
        <v>0</v>
      </c>
      <c r="X22" s="62">
        <f t="shared" si="4"/>
        <v>0</v>
      </c>
      <c r="Y22" s="62">
        <f t="shared" si="12"/>
        <v>0</v>
      </c>
    </row>
    <row r="23" spans="1:25" ht="18" customHeight="1" x14ac:dyDescent="0.25">
      <c r="A23" s="55">
        <v>19</v>
      </c>
      <c r="B23" s="50"/>
      <c r="C23" s="50"/>
      <c r="D23" s="50"/>
      <c r="E23" s="50"/>
      <c r="F23" s="50"/>
      <c r="G23" s="56"/>
      <c r="H23" s="57"/>
      <c r="I23" s="57"/>
      <c r="J23" s="23"/>
      <c r="K23" s="59"/>
      <c r="L23" s="59"/>
      <c r="M23" s="68">
        <f t="shared" si="0"/>
        <v>0</v>
      </c>
      <c r="N23" s="60">
        <f t="shared" si="1"/>
        <v>0</v>
      </c>
      <c r="O23" s="61">
        <f t="shared" si="5"/>
        <v>0</v>
      </c>
      <c r="P23" s="61">
        <f t="shared" si="6"/>
        <v>0</v>
      </c>
      <c r="Q23" s="60">
        <f t="shared" si="7"/>
        <v>0</v>
      </c>
      <c r="R23" s="60">
        <f t="shared" si="8"/>
        <v>0</v>
      </c>
      <c r="S23" s="60">
        <f t="shared" si="9"/>
        <v>0</v>
      </c>
      <c r="T23" s="60">
        <f t="shared" si="10"/>
        <v>0</v>
      </c>
      <c r="U23" s="60">
        <f t="shared" si="11"/>
        <v>0</v>
      </c>
      <c r="V23" s="61">
        <f t="shared" si="2"/>
        <v>0</v>
      </c>
      <c r="W23" s="61">
        <f t="shared" si="3"/>
        <v>0</v>
      </c>
      <c r="X23" s="62">
        <f t="shared" si="4"/>
        <v>0</v>
      </c>
      <c r="Y23" s="62">
        <f t="shared" si="12"/>
        <v>0</v>
      </c>
    </row>
    <row r="24" spans="1:25" ht="18" customHeight="1" x14ac:dyDescent="0.25">
      <c r="A24" s="55">
        <v>20</v>
      </c>
      <c r="B24" s="50"/>
      <c r="C24" s="50"/>
      <c r="D24" s="50"/>
      <c r="E24" s="50"/>
      <c r="F24" s="50"/>
      <c r="G24" s="56"/>
      <c r="H24" s="57"/>
      <c r="I24" s="57"/>
      <c r="J24" s="23"/>
      <c r="K24" s="59"/>
      <c r="L24" s="59"/>
      <c r="M24" s="68">
        <f t="shared" si="0"/>
        <v>0</v>
      </c>
      <c r="N24" s="60">
        <f t="shared" si="1"/>
        <v>0</v>
      </c>
      <c r="O24" s="61">
        <f t="shared" si="5"/>
        <v>0</v>
      </c>
      <c r="P24" s="61">
        <f t="shared" si="6"/>
        <v>0</v>
      </c>
      <c r="Q24" s="60">
        <f t="shared" si="7"/>
        <v>0</v>
      </c>
      <c r="R24" s="60">
        <f t="shared" si="8"/>
        <v>0</v>
      </c>
      <c r="S24" s="60">
        <f t="shared" si="9"/>
        <v>0</v>
      </c>
      <c r="T24" s="60">
        <f t="shared" si="10"/>
        <v>0</v>
      </c>
      <c r="U24" s="60">
        <f t="shared" si="11"/>
        <v>0</v>
      </c>
      <c r="V24" s="61">
        <f t="shared" si="2"/>
        <v>0</v>
      </c>
      <c r="W24" s="61">
        <f t="shared" si="3"/>
        <v>0</v>
      </c>
      <c r="X24" s="62">
        <f t="shared" si="4"/>
        <v>0</v>
      </c>
      <c r="Y24" s="62">
        <f t="shared" si="12"/>
        <v>0</v>
      </c>
    </row>
    <row r="25" spans="1:25" ht="18" customHeight="1" x14ac:dyDescent="0.25">
      <c r="A25" s="55">
        <v>21</v>
      </c>
      <c r="B25" s="50"/>
      <c r="C25" s="50"/>
      <c r="D25" s="50"/>
      <c r="E25" s="50"/>
      <c r="F25" s="50"/>
      <c r="G25" s="56"/>
      <c r="H25" s="57"/>
      <c r="I25" s="57"/>
      <c r="J25" s="23"/>
      <c r="K25" s="59"/>
      <c r="L25" s="59"/>
      <c r="M25" s="68">
        <f t="shared" si="0"/>
        <v>0</v>
      </c>
      <c r="N25" s="60">
        <f t="shared" si="1"/>
        <v>0</v>
      </c>
      <c r="O25" s="61">
        <f t="shared" si="5"/>
        <v>0</v>
      </c>
      <c r="P25" s="61">
        <f t="shared" si="6"/>
        <v>0</v>
      </c>
      <c r="Q25" s="60">
        <f t="shared" si="7"/>
        <v>0</v>
      </c>
      <c r="R25" s="60">
        <f t="shared" si="8"/>
        <v>0</v>
      </c>
      <c r="S25" s="60">
        <f t="shared" si="9"/>
        <v>0</v>
      </c>
      <c r="T25" s="60">
        <f t="shared" si="10"/>
        <v>0</v>
      </c>
      <c r="U25" s="60">
        <f t="shared" si="11"/>
        <v>0</v>
      </c>
      <c r="V25" s="61">
        <f t="shared" si="2"/>
        <v>0</v>
      </c>
      <c r="W25" s="61">
        <f t="shared" si="3"/>
        <v>0</v>
      </c>
      <c r="X25" s="62">
        <f t="shared" si="4"/>
        <v>0</v>
      </c>
      <c r="Y25" s="62">
        <f t="shared" si="12"/>
        <v>0</v>
      </c>
    </row>
    <row r="26" spans="1:25" ht="18" customHeight="1" x14ac:dyDescent="0.25">
      <c r="A26" s="55">
        <v>22</v>
      </c>
      <c r="B26" s="50"/>
      <c r="C26" s="50"/>
      <c r="D26" s="50"/>
      <c r="E26" s="50"/>
      <c r="F26" s="50"/>
      <c r="G26" s="56"/>
      <c r="H26" s="57"/>
      <c r="I26" s="57"/>
      <c r="J26" s="23"/>
      <c r="K26" s="59"/>
      <c r="L26" s="59"/>
      <c r="M26" s="68">
        <f t="shared" si="0"/>
        <v>0</v>
      </c>
      <c r="N26" s="60">
        <f t="shared" si="1"/>
        <v>0</v>
      </c>
      <c r="O26" s="61">
        <f t="shared" si="5"/>
        <v>0</v>
      </c>
      <c r="P26" s="61">
        <f t="shared" si="6"/>
        <v>0</v>
      </c>
      <c r="Q26" s="60">
        <f t="shared" si="7"/>
        <v>0</v>
      </c>
      <c r="R26" s="60">
        <f t="shared" si="8"/>
        <v>0</v>
      </c>
      <c r="S26" s="60">
        <f t="shared" si="9"/>
        <v>0</v>
      </c>
      <c r="T26" s="60">
        <f t="shared" si="10"/>
        <v>0</v>
      </c>
      <c r="U26" s="60">
        <f t="shared" si="11"/>
        <v>0</v>
      </c>
      <c r="V26" s="61">
        <f t="shared" si="2"/>
        <v>0</v>
      </c>
      <c r="W26" s="61">
        <f t="shared" si="3"/>
        <v>0</v>
      </c>
      <c r="X26" s="62">
        <f t="shared" si="4"/>
        <v>0</v>
      </c>
      <c r="Y26" s="62">
        <f t="shared" si="12"/>
        <v>0</v>
      </c>
    </row>
    <row r="27" spans="1:25" ht="18" customHeight="1" x14ac:dyDescent="0.25">
      <c r="A27" s="55">
        <v>23</v>
      </c>
      <c r="B27" s="50"/>
      <c r="C27" s="50"/>
      <c r="D27" s="50"/>
      <c r="E27" s="50"/>
      <c r="F27" s="50"/>
      <c r="G27" s="56"/>
      <c r="H27" s="57"/>
      <c r="I27" s="57"/>
      <c r="J27" s="23"/>
      <c r="K27" s="59"/>
      <c r="L27" s="59"/>
      <c r="M27" s="68">
        <f t="shared" si="0"/>
        <v>0</v>
      </c>
      <c r="N27" s="60">
        <f t="shared" si="1"/>
        <v>0</v>
      </c>
      <c r="O27" s="61">
        <f t="shared" si="5"/>
        <v>0</v>
      </c>
      <c r="P27" s="61">
        <f t="shared" si="6"/>
        <v>0</v>
      </c>
      <c r="Q27" s="60">
        <f t="shared" si="7"/>
        <v>0</v>
      </c>
      <c r="R27" s="60">
        <f t="shared" si="8"/>
        <v>0</v>
      </c>
      <c r="S27" s="60">
        <f t="shared" si="9"/>
        <v>0</v>
      </c>
      <c r="T27" s="60">
        <f t="shared" si="10"/>
        <v>0</v>
      </c>
      <c r="U27" s="60">
        <f t="shared" si="11"/>
        <v>0</v>
      </c>
      <c r="V27" s="61">
        <f t="shared" si="2"/>
        <v>0</v>
      </c>
      <c r="W27" s="61">
        <f t="shared" si="3"/>
        <v>0</v>
      </c>
      <c r="X27" s="62">
        <f t="shared" si="4"/>
        <v>0</v>
      </c>
      <c r="Y27" s="62">
        <f t="shared" si="12"/>
        <v>0</v>
      </c>
    </row>
    <row r="28" spans="1:25" ht="18" customHeight="1" x14ac:dyDescent="0.25">
      <c r="A28" s="55">
        <v>24</v>
      </c>
      <c r="B28" s="50"/>
      <c r="C28" s="50"/>
      <c r="D28" s="50"/>
      <c r="E28" s="50"/>
      <c r="F28" s="50"/>
      <c r="G28" s="56"/>
      <c r="H28" s="57"/>
      <c r="I28" s="57"/>
      <c r="J28" s="23"/>
      <c r="K28" s="59"/>
      <c r="L28" s="59"/>
      <c r="M28" s="68">
        <f t="shared" si="0"/>
        <v>0</v>
      </c>
      <c r="N28" s="60">
        <f t="shared" si="1"/>
        <v>0</v>
      </c>
      <c r="O28" s="61">
        <f t="shared" si="5"/>
        <v>0</v>
      </c>
      <c r="P28" s="61">
        <f t="shared" si="6"/>
        <v>0</v>
      </c>
      <c r="Q28" s="60">
        <f t="shared" si="7"/>
        <v>0</v>
      </c>
      <c r="R28" s="60">
        <f t="shared" si="8"/>
        <v>0</v>
      </c>
      <c r="S28" s="60">
        <f t="shared" si="9"/>
        <v>0</v>
      </c>
      <c r="T28" s="60">
        <f t="shared" si="10"/>
        <v>0</v>
      </c>
      <c r="U28" s="60">
        <f t="shared" si="11"/>
        <v>0</v>
      </c>
      <c r="V28" s="61">
        <f t="shared" si="2"/>
        <v>0</v>
      </c>
      <c r="W28" s="61">
        <f t="shared" si="3"/>
        <v>0</v>
      </c>
      <c r="X28" s="62">
        <f t="shared" si="4"/>
        <v>0</v>
      </c>
      <c r="Y28" s="62">
        <f t="shared" si="12"/>
        <v>0</v>
      </c>
    </row>
    <row r="29" spans="1:25" ht="18" customHeight="1" x14ac:dyDescent="0.25">
      <c r="A29" s="55">
        <v>25</v>
      </c>
      <c r="B29" s="50"/>
      <c r="C29" s="50"/>
      <c r="D29" s="50"/>
      <c r="E29" s="50"/>
      <c r="F29" s="50"/>
      <c r="G29" s="56"/>
      <c r="H29" s="57"/>
      <c r="I29" s="57"/>
      <c r="J29" s="23"/>
      <c r="K29" s="59"/>
      <c r="L29" s="59"/>
      <c r="M29" s="68">
        <f t="shared" si="0"/>
        <v>0</v>
      </c>
      <c r="N29" s="60">
        <f t="shared" si="1"/>
        <v>0</v>
      </c>
      <c r="O29" s="61">
        <f t="shared" si="5"/>
        <v>0</v>
      </c>
      <c r="P29" s="61">
        <f t="shared" si="6"/>
        <v>0</v>
      </c>
      <c r="Q29" s="60">
        <f t="shared" si="7"/>
        <v>0</v>
      </c>
      <c r="R29" s="60">
        <f t="shared" si="8"/>
        <v>0</v>
      </c>
      <c r="S29" s="60">
        <f t="shared" si="9"/>
        <v>0</v>
      </c>
      <c r="T29" s="60">
        <f t="shared" si="10"/>
        <v>0</v>
      </c>
      <c r="U29" s="60">
        <f t="shared" si="11"/>
        <v>0</v>
      </c>
      <c r="V29" s="61">
        <f t="shared" si="2"/>
        <v>0</v>
      </c>
      <c r="W29" s="61">
        <f t="shared" si="3"/>
        <v>0</v>
      </c>
      <c r="X29" s="62">
        <f t="shared" si="4"/>
        <v>0</v>
      </c>
      <c r="Y29" s="62">
        <f t="shared" si="12"/>
        <v>0</v>
      </c>
    </row>
    <row r="30" spans="1:25" ht="18" customHeight="1" x14ac:dyDescent="0.25">
      <c r="A30" s="64"/>
      <c r="B30" s="65" t="s">
        <v>10</v>
      </c>
      <c r="C30" s="65"/>
      <c r="D30" s="65"/>
      <c r="E30" s="65"/>
      <c r="F30" s="65"/>
      <c r="G30" s="65"/>
      <c r="H30" s="65"/>
      <c r="I30" s="65"/>
      <c r="J30" s="65"/>
      <c r="K30" s="65"/>
      <c r="L30" s="65"/>
      <c r="M30" s="69"/>
      <c r="N30" s="67">
        <f t="shared" ref="N30:Y30" si="13">SUM(N5:N29)</f>
        <v>0</v>
      </c>
      <c r="O30" s="66">
        <f t="shared" si="13"/>
        <v>0</v>
      </c>
      <c r="P30" s="66">
        <f t="shared" si="13"/>
        <v>0</v>
      </c>
      <c r="Q30" s="67">
        <f t="shared" si="13"/>
        <v>0</v>
      </c>
      <c r="R30" s="67">
        <f t="shared" si="13"/>
        <v>0</v>
      </c>
      <c r="S30" s="67">
        <f>SUM(S5:S29)</f>
        <v>0</v>
      </c>
      <c r="T30" s="67">
        <f t="shared" si="13"/>
        <v>0</v>
      </c>
      <c r="U30" s="66">
        <f t="shared" si="13"/>
        <v>0</v>
      </c>
      <c r="V30" s="66">
        <f t="shared" si="13"/>
        <v>0</v>
      </c>
      <c r="W30" s="66">
        <f t="shared" si="13"/>
        <v>0</v>
      </c>
      <c r="X30" s="62">
        <f t="shared" si="13"/>
        <v>0</v>
      </c>
      <c r="Y30" s="62">
        <f t="shared" si="13"/>
        <v>0</v>
      </c>
    </row>
  </sheetData>
  <sheetProtection password="D08A" sheet="1"/>
  <dataValidations count="5">
    <dataValidation type="decimal" allowBlank="1" showInputMessage="1" showErrorMessage="1" errorTitle="Attenzione" error="Inserire un valore tra 0,00 e 100,00" prompt="Inserire un valore tra 0,00 e 100,00" sqref="G5:G29" xr:uid="{BE85109F-CCC1-452F-BC96-84D9F1A4BC82}">
      <formula1>0</formula1>
      <formula2>100</formula2>
    </dataValidation>
    <dataValidation allowBlank="1" showInputMessage="1" showErrorMessage="1" prompt="Inserire l'aliquota deliberata nell'anno precedente (dato utile ai fini del calcolo della prima rata)" sqref="K5:K29" xr:uid="{BE266F93-4FF5-4C00-A50D-BDFB0D3DB0EA}"/>
    <dataValidation allowBlank="1" showInputMessage="1" showErrorMessage="1" prompt="Inserire l'aliquota deliberata nell'anno (se pubblicata nel sito del MEF entro il 28/10). In caso contrario, inserire l'aliquota dell'anno precedente." sqref="L5:L29" xr:uid="{505C5135-0BA6-4DEB-97AC-EA860C087CB5}"/>
    <dataValidation type="whole" allowBlank="1" showInputMessage="1" showErrorMessage="1" errorTitle="Attenzione" error="Inserire un valore tra 0 e 12" prompt="Inserire un valore tra 0 e 6" sqref="I5:I29" xr:uid="{AC04D2C7-B259-4BD2-BF6B-466D34C808BE}">
      <formula1>0</formula1>
      <formula2>6</formula2>
    </dataValidation>
    <dataValidation type="decimal" allowBlank="1" showInputMessage="1" showErrorMessage="1" errorTitle="Attenzione" error="Inserire un valore tra 0,00 e 100,00" prompt="Inserire un valore tra 0 e 6" sqref="H5:H29" xr:uid="{2F5D0890-3878-4C1E-9E16-F013387F89F1}">
      <formula1>0</formula1>
      <formula2>6</formula2>
    </dataValidation>
  </dataValidations>
  <printOptions horizontalCentered="1"/>
  <pageMargins left="0" right="0" top="0.19685039370078741" bottom="0.19685039370078741" header="0.19685039370078741" footer="0.19685039370078741"/>
  <pageSetup paperSize="9" orientation="landscape" horizontalDpi="0" verticalDpi="0" r:id="rId1"/>
  <headerFooter>
    <oddFooter>&amp;LCalcolo IMU&amp;RAltri fabbricati</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locked="0" defaultSize="0" autoFill="0" autoLine="0" autoPict="0">
                <anchor moveWithCells="1">
                  <from>
                    <xdr:col>2</xdr:col>
                    <xdr:colOff>15240</xdr:colOff>
                    <xdr:row>4</xdr:row>
                    <xdr:rowOff>0</xdr:rowOff>
                  </from>
                  <to>
                    <xdr:col>3</xdr:col>
                    <xdr:colOff>0</xdr:colOff>
                    <xdr:row>5</xdr:row>
                    <xdr:rowOff>0</xdr:rowOff>
                  </to>
                </anchor>
              </controlPr>
            </control>
          </mc:Choice>
        </mc:AlternateContent>
        <mc:AlternateContent xmlns:mc="http://schemas.openxmlformats.org/markup-compatibility/2006">
          <mc:Choice Requires="x14">
            <control shapeId="3074" r:id="rId5" name="Drop Down 2">
              <controlPr locked="0" defaultSize="0" autoFill="0" autoLine="0" autoPict="0">
                <anchor moveWithCells="1">
                  <from>
                    <xdr:col>2</xdr:col>
                    <xdr:colOff>15240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3075" r:id="rId6" name="Drop Down 3">
              <controlPr locked="0" defaultSize="0" autoFill="0" autoLine="0" autoPict="0">
                <anchor moveWithCells="1">
                  <from>
                    <xdr:col>2</xdr:col>
                    <xdr:colOff>15240</xdr:colOff>
                    <xdr:row>6</xdr:row>
                    <xdr:rowOff>0</xdr:rowOff>
                  </from>
                  <to>
                    <xdr:col>3</xdr:col>
                    <xdr:colOff>0</xdr:colOff>
                    <xdr:row>7</xdr:row>
                    <xdr:rowOff>0</xdr:rowOff>
                  </to>
                </anchor>
              </controlPr>
            </control>
          </mc:Choice>
        </mc:AlternateContent>
        <mc:AlternateContent xmlns:mc="http://schemas.openxmlformats.org/markup-compatibility/2006">
          <mc:Choice Requires="x14">
            <control shapeId="3076" r:id="rId7" name="Drop Down 4">
              <controlPr locked="0" defaultSize="0" autoFill="0" autoLine="0" autoPict="0">
                <anchor moveWithCells="1">
                  <from>
                    <xdr:col>2</xdr:col>
                    <xdr:colOff>15240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3077" r:id="rId8" name="Drop Down 5">
              <controlPr locked="0" defaultSize="0" autoFill="0" autoLine="0" autoPict="0">
                <anchor moveWithCells="1">
                  <from>
                    <xdr:col>2</xdr:col>
                    <xdr:colOff>15240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3078" r:id="rId9" name="Drop Down 6">
              <controlPr locked="0" defaultSize="0" autoFill="0" autoLine="0" autoPict="0">
                <anchor moveWithCells="1">
                  <from>
                    <xdr:col>2</xdr:col>
                    <xdr:colOff>15240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3079" r:id="rId10" name="Drop Down 7">
              <controlPr locked="0" defaultSize="0" autoFill="0" autoLine="0" autoPict="0">
                <anchor moveWithCells="1">
                  <from>
                    <xdr:col>2</xdr:col>
                    <xdr:colOff>15240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3080" r:id="rId11" name="Drop Down 8">
              <controlPr locked="0" defaultSize="0" autoFill="0" autoLine="0" autoPict="0">
                <anchor moveWithCells="1">
                  <from>
                    <xdr:col>2</xdr:col>
                    <xdr:colOff>15240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3081" r:id="rId12" name="Drop Down 9">
              <controlPr locked="0" defaultSize="0" autoFill="0" autoLine="0" autoPict="0">
                <anchor moveWithCells="1">
                  <from>
                    <xdr:col>2</xdr:col>
                    <xdr:colOff>15240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3082" r:id="rId13" name="Drop Down 10">
              <controlPr locked="0" defaultSize="0" autoFill="0" autoLine="0" autoPict="0">
                <anchor moveWithCells="1">
                  <from>
                    <xdr:col>2</xdr:col>
                    <xdr:colOff>15240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3083" r:id="rId14" name="Button 11">
              <controlPr defaultSize="0" print="0" autoFill="0" autoLine="0" autoPict="0" macro="[0]!Vai_home">
                <anchor moveWithCells="1" sizeWithCells="1">
                  <from>
                    <xdr:col>1</xdr:col>
                    <xdr:colOff>15240</xdr:colOff>
                    <xdr:row>0</xdr:row>
                    <xdr:rowOff>60960</xdr:rowOff>
                  </from>
                  <to>
                    <xdr:col>1</xdr:col>
                    <xdr:colOff>1112520</xdr:colOff>
                    <xdr:row>0</xdr:row>
                    <xdr:rowOff>464820</xdr:rowOff>
                  </to>
                </anchor>
              </controlPr>
            </control>
          </mc:Choice>
        </mc:AlternateContent>
        <mc:AlternateContent xmlns:mc="http://schemas.openxmlformats.org/markup-compatibility/2006">
          <mc:Choice Requires="x14">
            <control shapeId="3084" r:id="rId15" name="Button 12">
              <controlPr defaultSize="0" print="0" autoFill="0" autoLine="0" autoPict="0" macro="[0]!Vai_terreni">
                <anchor moveWithCells="1" sizeWithCells="1">
                  <from>
                    <xdr:col>1</xdr:col>
                    <xdr:colOff>1264920</xdr:colOff>
                    <xdr:row>0</xdr:row>
                    <xdr:rowOff>60960</xdr:rowOff>
                  </from>
                  <to>
                    <xdr:col>2</xdr:col>
                    <xdr:colOff>990600</xdr:colOff>
                    <xdr:row>0</xdr:row>
                    <xdr:rowOff>457200</xdr:rowOff>
                  </to>
                </anchor>
              </controlPr>
            </control>
          </mc:Choice>
        </mc:AlternateContent>
        <mc:AlternateContent xmlns:mc="http://schemas.openxmlformats.org/markup-compatibility/2006">
          <mc:Choice Requires="x14">
            <control shapeId="3085" r:id="rId16" name="Button 13">
              <controlPr defaultSize="0" print="0" autoFill="0" autoLine="0" autoPict="0" macro="[0]!Vai_ab_princ">
                <anchor moveWithCells="1" sizeWithCells="1">
                  <from>
                    <xdr:col>3</xdr:col>
                    <xdr:colOff>693420</xdr:colOff>
                    <xdr:row>0</xdr:row>
                    <xdr:rowOff>60960</xdr:rowOff>
                  </from>
                  <to>
                    <xdr:col>4</xdr:col>
                    <xdr:colOff>883920</xdr:colOff>
                    <xdr:row>0</xdr:row>
                    <xdr:rowOff>457200</xdr:rowOff>
                  </to>
                </anchor>
              </controlPr>
            </control>
          </mc:Choice>
        </mc:AlternateContent>
        <mc:AlternateContent xmlns:mc="http://schemas.openxmlformats.org/markup-compatibility/2006">
          <mc:Choice Requires="x14">
            <control shapeId="3086" r:id="rId17" name="Button 14">
              <controlPr defaultSize="0" print="0" autoFill="0" autoLine="0" autoPict="0" macro="[0]!Vai_aree">
                <anchor moveWithCells="1" sizeWithCells="1">
                  <from>
                    <xdr:col>5</xdr:col>
                    <xdr:colOff>175260</xdr:colOff>
                    <xdr:row>0</xdr:row>
                    <xdr:rowOff>60960</xdr:rowOff>
                  </from>
                  <to>
                    <xdr:col>6</xdr:col>
                    <xdr:colOff>350520</xdr:colOff>
                    <xdr:row>0</xdr:row>
                    <xdr:rowOff>457200</xdr:rowOff>
                  </to>
                </anchor>
              </controlPr>
            </control>
          </mc:Choice>
        </mc:AlternateContent>
        <mc:AlternateContent xmlns:mc="http://schemas.openxmlformats.org/markup-compatibility/2006">
          <mc:Choice Requires="x14">
            <control shapeId="3087" r:id="rId18" name="Button 15">
              <controlPr defaultSize="0" print="0" autoFill="0" autoLine="0" autoPict="0" macro="[0]!Vai_riepilogo">
                <anchor moveWithCells="1" sizeWithCells="1">
                  <from>
                    <xdr:col>7</xdr:col>
                    <xdr:colOff>68580</xdr:colOff>
                    <xdr:row>0</xdr:row>
                    <xdr:rowOff>60960</xdr:rowOff>
                  </from>
                  <to>
                    <xdr:col>9</xdr:col>
                    <xdr:colOff>403860</xdr:colOff>
                    <xdr:row>0</xdr:row>
                    <xdr:rowOff>457200</xdr:rowOff>
                  </to>
                </anchor>
              </controlPr>
            </control>
          </mc:Choice>
        </mc:AlternateContent>
        <mc:AlternateContent xmlns:mc="http://schemas.openxmlformats.org/markup-compatibility/2006">
          <mc:Choice Requires="x14">
            <control shapeId="3088" r:id="rId19" name="Button 16">
              <controlPr defaultSize="0" print="0" autoFill="0" autoLine="0" autoPict="0" macro="[0]!Vai_Rurali">
                <anchor moveWithCells="1" sizeWithCells="1">
                  <from>
                    <xdr:col>2</xdr:col>
                    <xdr:colOff>1150620</xdr:colOff>
                    <xdr:row>0</xdr:row>
                    <xdr:rowOff>60960</xdr:rowOff>
                  </from>
                  <to>
                    <xdr:col>3</xdr:col>
                    <xdr:colOff>525780</xdr:colOff>
                    <xdr:row>0</xdr:row>
                    <xdr:rowOff>457200</xdr:rowOff>
                  </to>
                </anchor>
              </controlPr>
            </control>
          </mc:Choice>
        </mc:AlternateContent>
        <mc:AlternateContent xmlns:mc="http://schemas.openxmlformats.org/markup-compatibility/2006">
          <mc:Choice Requires="x14">
            <control shapeId="3099" r:id="rId20" name="Drop Down 27">
              <controlPr locked="0" defaultSize="0" autoFill="0" autoLine="0" autoPict="0">
                <anchor moveWithCells="1">
                  <from>
                    <xdr:col>2</xdr:col>
                    <xdr:colOff>15240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3101" r:id="rId21" name="Drop Down 29">
              <controlPr locked="0" defaultSize="0" autoFill="0" autoLine="0" autoPict="0">
                <anchor moveWithCells="1">
                  <from>
                    <xdr:col>2</xdr:col>
                    <xdr:colOff>15240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3103" r:id="rId22" name="Drop Down 31">
              <controlPr locked="0" defaultSize="0" autoFill="0" autoLine="0" autoPict="0">
                <anchor moveWithCells="1">
                  <from>
                    <xdr:col>2</xdr:col>
                    <xdr:colOff>15240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3105" r:id="rId23" name="Drop Down 33">
              <controlPr locked="0" defaultSize="0" autoFill="0" autoLine="0" autoPict="0">
                <anchor moveWithCells="1">
                  <from>
                    <xdr:col>2</xdr:col>
                    <xdr:colOff>15240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3107" r:id="rId24" name="Drop Down 35">
              <controlPr locked="0" defaultSize="0" autoFill="0" autoLine="0" autoPict="0">
                <anchor moveWithCells="1">
                  <from>
                    <xdr:col>2</xdr:col>
                    <xdr:colOff>15240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3109" r:id="rId25" name="Drop Down 37">
              <controlPr locked="0" defaultSize="0" autoFill="0" autoLine="0" autoPict="0">
                <anchor moveWithCells="1">
                  <from>
                    <xdr:col>2</xdr:col>
                    <xdr:colOff>15240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3111" r:id="rId26" name="Drop Down 39">
              <controlPr locked="0" defaultSize="0" autoFill="0" autoLine="0" autoPict="0">
                <anchor moveWithCells="1">
                  <from>
                    <xdr:col>2</xdr:col>
                    <xdr:colOff>15240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3113" r:id="rId27" name="Drop Down 41">
              <controlPr locked="0" defaultSize="0" autoFill="0" autoLine="0" autoPict="0">
                <anchor moveWithCells="1">
                  <from>
                    <xdr:col>2</xdr:col>
                    <xdr:colOff>15240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3115" r:id="rId28" name="Drop Down 43">
              <controlPr locked="0" defaultSize="0" autoFill="0" autoLine="0" autoPict="0">
                <anchor moveWithCells="1">
                  <from>
                    <xdr:col>2</xdr:col>
                    <xdr:colOff>15240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3117" r:id="rId29" name="Drop Down 45">
              <controlPr locked="0" defaultSize="0" autoFill="0" autoLine="0" autoPict="0">
                <anchor moveWithCells="1">
                  <from>
                    <xdr:col>2</xdr:col>
                    <xdr:colOff>15240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19" r:id="rId30" name="Drop Down 47">
              <controlPr locked="0" defaultSize="0" autoFill="0" autoLine="0" autoPict="0">
                <anchor moveWithCells="1">
                  <from>
                    <xdr:col>2</xdr:col>
                    <xdr:colOff>15240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3121" r:id="rId31" name="Drop Down 49">
              <controlPr locked="0" defaultSize="0" autoFill="0" autoLine="0" autoPict="0">
                <anchor moveWithCells="1">
                  <from>
                    <xdr:col>2</xdr:col>
                    <xdr:colOff>15240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3123" r:id="rId32" name="Drop Down 51">
              <controlPr locked="0" defaultSize="0" autoFill="0" autoLine="0" autoPict="0">
                <anchor moveWithCells="1">
                  <from>
                    <xdr:col>2</xdr:col>
                    <xdr:colOff>15240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3125" r:id="rId33" name="Drop Down 53">
              <controlPr locked="0" defaultSize="0" autoFill="0" autoLine="0" autoPict="0">
                <anchor moveWithCells="1">
                  <from>
                    <xdr:col>2</xdr:col>
                    <xdr:colOff>15240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3127" r:id="rId34" name="Drop Down 55">
              <controlPr locked="0" defaultSize="0" autoFill="0" autoLine="0" autoPict="0">
                <anchor moveWithCells="1">
                  <from>
                    <xdr:col>2</xdr:col>
                    <xdr:colOff>15240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3129" r:id="rId35" name="Drop Down 57">
              <controlPr locked="0" defaultSize="0" autoFill="0" autoLine="0" autoPict="0">
                <anchor moveWithCells="1">
                  <from>
                    <xdr:col>2</xdr:col>
                    <xdr:colOff>15240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3131" r:id="rId36" name="Drop Down 59">
              <controlPr locked="0" defaultSize="0" autoFill="0" autoLine="0" autoPict="0">
                <anchor moveWithCells="1">
                  <from>
                    <xdr:col>2</xdr:col>
                    <xdr:colOff>15240</xdr:colOff>
                    <xdr:row>6</xdr:row>
                    <xdr:rowOff>0</xdr:rowOff>
                  </from>
                  <to>
                    <xdr:col>3</xdr:col>
                    <xdr:colOff>0</xdr:colOff>
                    <xdr:row>7</xdr:row>
                    <xdr:rowOff>0</xdr:rowOff>
                  </to>
                </anchor>
              </controlPr>
            </control>
          </mc:Choice>
        </mc:AlternateContent>
        <mc:AlternateContent xmlns:mc="http://schemas.openxmlformats.org/markup-compatibility/2006">
          <mc:Choice Requires="x14">
            <control shapeId="3133" r:id="rId37" name="Drop Down 61">
              <controlPr locked="0" defaultSize="0" autoFill="0" autoLine="0" autoPict="0">
                <anchor moveWithCells="1">
                  <from>
                    <xdr:col>2</xdr:col>
                    <xdr:colOff>15240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3135" r:id="rId38" name="Drop Down 63">
              <controlPr locked="0" defaultSize="0" autoFill="0" autoLine="0" autoPict="0">
                <anchor moveWithCells="1">
                  <from>
                    <xdr:col>2</xdr:col>
                    <xdr:colOff>15240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3137" r:id="rId39" name="Drop Down 65">
              <controlPr locked="0" defaultSize="0" autoFill="0" autoLine="0" autoPict="0">
                <anchor moveWithCells="1">
                  <from>
                    <xdr:col>2</xdr:col>
                    <xdr:colOff>15240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3139" r:id="rId40" name="Drop Down 67">
              <controlPr locked="0" defaultSize="0" autoFill="0" autoLine="0" autoPict="0">
                <anchor moveWithCells="1">
                  <from>
                    <xdr:col>2</xdr:col>
                    <xdr:colOff>15240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3141" r:id="rId41" name="Drop Down 69">
              <controlPr locked="0" defaultSize="0" autoFill="0" autoLine="0" autoPict="0">
                <anchor moveWithCells="1">
                  <from>
                    <xdr:col>2</xdr:col>
                    <xdr:colOff>15240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3143" r:id="rId42" name="Drop Down 71">
              <controlPr locked="0" defaultSize="0" autoFill="0" autoLine="0" autoPict="0">
                <anchor moveWithCells="1">
                  <from>
                    <xdr:col>2</xdr:col>
                    <xdr:colOff>15240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3145" r:id="rId43" name="Drop Down 73">
              <controlPr locked="0" defaultSize="0" autoFill="0" autoLine="0" autoPict="0">
                <anchor moveWithCells="1">
                  <from>
                    <xdr:col>2</xdr:col>
                    <xdr:colOff>15240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3147" r:id="rId44" name="Drop Down 75">
              <controlPr locked="0" defaultSize="0" autoFill="0" autoLine="0" autoPict="0">
                <anchor moveWithCells="1">
                  <from>
                    <xdr:col>2</xdr:col>
                    <xdr:colOff>15240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3149" r:id="rId45" name="Drop Down 77">
              <controlPr locked="0" defaultSize="0" autoFill="0" autoLine="0" autoPict="0">
                <anchor moveWithCells="1">
                  <from>
                    <xdr:col>2</xdr:col>
                    <xdr:colOff>15240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3151" r:id="rId46" name="Drop Down 79">
              <controlPr locked="0" defaultSize="0" autoFill="0" autoLine="0" autoPict="0">
                <anchor moveWithCells="1">
                  <from>
                    <xdr:col>2</xdr:col>
                    <xdr:colOff>15240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3153" r:id="rId47" name="Drop Down 81">
              <controlPr locked="0" defaultSize="0" autoFill="0" autoLine="0" autoPict="0">
                <anchor moveWithCells="1">
                  <from>
                    <xdr:col>2</xdr:col>
                    <xdr:colOff>15240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3155" r:id="rId48" name="Drop Down 83">
              <controlPr locked="0" defaultSize="0" autoFill="0" autoLine="0" autoPict="0">
                <anchor moveWithCells="1">
                  <from>
                    <xdr:col>2</xdr:col>
                    <xdr:colOff>15240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3157" r:id="rId49" name="Drop Down 85">
              <controlPr locked="0" defaultSize="0" autoFill="0" autoLine="0" autoPict="0">
                <anchor moveWithCells="1">
                  <from>
                    <xdr:col>2</xdr:col>
                    <xdr:colOff>15240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3159" r:id="rId50" name="Drop Down 87">
              <controlPr locked="0" defaultSize="0" autoFill="0" autoLine="0" autoPict="0">
                <anchor moveWithCells="1">
                  <from>
                    <xdr:col>2</xdr:col>
                    <xdr:colOff>15240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3161" r:id="rId51" name="Drop Down 89">
              <controlPr locked="0" defaultSize="0" autoFill="0" autoLine="0" autoPict="0">
                <anchor moveWithCells="1">
                  <from>
                    <xdr:col>2</xdr:col>
                    <xdr:colOff>15240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3163" r:id="rId52" name="Drop Down 91">
              <controlPr locked="0" defaultSize="0" autoFill="0" autoLine="0" autoPict="0">
                <anchor moveWithCells="1">
                  <from>
                    <xdr:col>2</xdr:col>
                    <xdr:colOff>15240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3165" r:id="rId53" name="Drop Down 93">
              <controlPr locked="0" defaultSize="0" autoFill="0" autoLine="0" autoPict="0">
                <anchor moveWithCells="1">
                  <from>
                    <xdr:col>2</xdr:col>
                    <xdr:colOff>15240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67" r:id="rId54" name="Drop Down 95">
              <controlPr locked="0" defaultSize="0" autoFill="0" autoLine="0" autoPict="0">
                <anchor moveWithCells="1">
                  <from>
                    <xdr:col>2</xdr:col>
                    <xdr:colOff>15240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3169" r:id="rId55" name="Drop Down 97">
              <controlPr locked="0" defaultSize="0" autoFill="0" autoLine="0" autoPict="0">
                <anchor moveWithCells="1">
                  <from>
                    <xdr:col>2</xdr:col>
                    <xdr:colOff>15240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3171" r:id="rId56" name="Drop Down 99">
              <controlPr locked="0" defaultSize="0" autoFill="0" autoLine="0" autoPict="0">
                <anchor moveWithCells="1">
                  <from>
                    <xdr:col>2</xdr:col>
                    <xdr:colOff>15240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3173" r:id="rId57" name="Drop Down 101">
              <controlPr locked="0" defaultSize="0" autoFill="0" autoLine="0" autoPict="0">
                <anchor moveWithCells="1">
                  <from>
                    <xdr:col>2</xdr:col>
                    <xdr:colOff>15240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3175" r:id="rId58" name="Drop Down 103">
              <controlPr locked="0" defaultSize="0" autoFill="0" autoLine="0" autoPict="0">
                <anchor moveWithCells="1">
                  <from>
                    <xdr:col>2</xdr:col>
                    <xdr:colOff>15240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3299" r:id="rId59" name="Drop Down 227">
              <controlPr locked="0" defaultSize="0" autoFill="0" autoLine="0" autoPict="0">
                <anchor moveWithCells="1">
                  <from>
                    <xdr:col>3</xdr:col>
                    <xdr:colOff>15240</xdr:colOff>
                    <xdr:row>8</xdr:row>
                    <xdr:rowOff>15240</xdr:rowOff>
                  </from>
                  <to>
                    <xdr:col>4</xdr:col>
                    <xdr:colOff>15240</xdr:colOff>
                    <xdr:row>9</xdr:row>
                    <xdr:rowOff>0</xdr:rowOff>
                  </to>
                </anchor>
              </controlPr>
            </control>
          </mc:Choice>
        </mc:AlternateContent>
        <mc:AlternateContent xmlns:mc="http://schemas.openxmlformats.org/markup-compatibility/2006">
          <mc:Choice Requires="x14">
            <control shapeId="3303" r:id="rId60" name="Drop Down 231">
              <controlPr locked="0" defaultSize="0" autoFill="0" autoLine="0" autoPict="0">
                <anchor moveWithCells="1">
                  <from>
                    <xdr:col>3</xdr:col>
                    <xdr:colOff>15240</xdr:colOff>
                    <xdr:row>9</xdr:row>
                    <xdr:rowOff>15240</xdr:rowOff>
                  </from>
                  <to>
                    <xdr:col>4</xdr:col>
                    <xdr:colOff>15240</xdr:colOff>
                    <xdr:row>10</xdr:row>
                    <xdr:rowOff>0</xdr:rowOff>
                  </to>
                </anchor>
              </controlPr>
            </control>
          </mc:Choice>
        </mc:AlternateContent>
        <mc:AlternateContent xmlns:mc="http://schemas.openxmlformats.org/markup-compatibility/2006">
          <mc:Choice Requires="x14">
            <control shapeId="3307" r:id="rId61" name="Drop Down 235">
              <controlPr locked="0" defaultSize="0" autoFill="0" autoLine="0" autoPict="0">
                <anchor moveWithCells="1">
                  <from>
                    <xdr:col>3</xdr:col>
                    <xdr:colOff>15240</xdr:colOff>
                    <xdr:row>10</xdr:row>
                    <xdr:rowOff>15240</xdr:rowOff>
                  </from>
                  <to>
                    <xdr:col>4</xdr:col>
                    <xdr:colOff>15240</xdr:colOff>
                    <xdr:row>11</xdr:row>
                    <xdr:rowOff>0</xdr:rowOff>
                  </to>
                </anchor>
              </controlPr>
            </control>
          </mc:Choice>
        </mc:AlternateContent>
        <mc:AlternateContent xmlns:mc="http://schemas.openxmlformats.org/markup-compatibility/2006">
          <mc:Choice Requires="x14">
            <control shapeId="3311" r:id="rId62" name="Drop Down 239">
              <controlPr locked="0" defaultSize="0" autoFill="0" autoLine="0" autoPict="0">
                <anchor moveWithCells="1">
                  <from>
                    <xdr:col>3</xdr:col>
                    <xdr:colOff>15240</xdr:colOff>
                    <xdr:row>11</xdr:row>
                    <xdr:rowOff>15240</xdr:rowOff>
                  </from>
                  <to>
                    <xdr:col>4</xdr:col>
                    <xdr:colOff>15240</xdr:colOff>
                    <xdr:row>12</xdr:row>
                    <xdr:rowOff>0</xdr:rowOff>
                  </to>
                </anchor>
              </controlPr>
            </control>
          </mc:Choice>
        </mc:AlternateContent>
        <mc:AlternateContent xmlns:mc="http://schemas.openxmlformats.org/markup-compatibility/2006">
          <mc:Choice Requires="x14">
            <control shapeId="3315" r:id="rId63" name="Drop Down 243">
              <controlPr locked="0" defaultSize="0" autoFill="0" autoLine="0" autoPict="0">
                <anchor moveWithCells="1">
                  <from>
                    <xdr:col>3</xdr:col>
                    <xdr:colOff>15240</xdr:colOff>
                    <xdr:row>12</xdr:row>
                    <xdr:rowOff>15240</xdr:rowOff>
                  </from>
                  <to>
                    <xdr:col>4</xdr:col>
                    <xdr:colOff>15240</xdr:colOff>
                    <xdr:row>13</xdr:row>
                    <xdr:rowOff>0</xdr:rowOff>
                  </to>
                </anchor>
              </controlPr>
            </control>
          </mc:Choice>
        </mc:AlternateContent>
        <mc:AlternateContent xmlns:mc="http://schemas.openxmlformats.org/markup-compatibility/2006">
          <mc:Choice Requires="x14">
            <control shapeId="3319" r:id="rId64" name="Drop Down 247">
              <controlPr locked="0" defaultSize="0" autoFill="0" autoLine="0" autoPict="0">
                <anchor moveWithCells="1">
                  <from>
                    <xdr:col>3</xdr:col>
                    <xdr:colOff>15240</xdr:colOff>
                    <xdr:row>13</xdr:row>
                    <xdr:rowOff>15240</xdr:rowOff>
                  </from>
                  <to>
                    <xdr:col>4</xdr:col>
                    <xdr:colOff>15240</xdr:colOff>
                    <xdr:row>14</xdr:row>
                    <xdr:rowOff>0</xdr:rowOff>
                  </to>
                </anchor>
              </controlPr>
            </control>
          </mc:Choice>
        </mc:AlternateContent>
        <mc:AlternateContent xmlns:mc="http://schemas.openxmlformats.org/markup-compatibility/2006">
          <mc:Choice Requires="x14">
            <control shapeId="3323" r:id="rId65" name="Drop Down 251">
              <controlPr locked="0" defaultSize="0" autoFill="0" autoLine="0" autoPict="0">
                <anchor moveWithCells="1">
                  <from>
                    <xdr:col>3</xdr:col>
                    <xdr:colOff>15240</xdr:colOff>
                    <xdr:row>14</xdr:row>
                    <xdr:rowOff>15240</xdr:rowOff>
                  </from>
                  <to>
                    <xdr:col>4</xdr:col>
                    <xdr:colOff>15240</xdr:colOff>
                    <xdr:row>15</xdr:row>
                    <xdr:rowOff>0</xdr:rowOff>
                  </to>
                </anchor>
              </controlPr>
            </control>
          </mc:Choice>
        </mc:AlternateContent>
        <mc:AlternateContent xmlns:mc="http://schemas.openxmlformats.org/markup-compatibility/2006">
          <mc:Choice Requires="x14">
            <control shapeId="3327" r:id="rId66" name="Drop Down 255">
              <controlPr locked="0" defaultSize="0" autoFill="0" autoLine="0" autoPict="0">
                <anchor moveWithCells="1">
                  <from>
                    <xdr:col>3</xdr:col>
                    <xdr:colOff>15240</xdr:colOff>
                    <xdr:row>15</xdr:row>
                    <xdr:rowOff>15240</xdr:rowOff>
                  </from>
                  <to>
                    <xdr:col>4</xdr:col>
                    <xdr:colOff>15240</xdr:colOff>
                    <xdr:row>16</xdr:row>
                    <xdr:rowOff>0</xdr:rowOff>
                  </to>
                </anchor>
              </controlPr>
            </control>
          </mc:Choice>
        </mc:AlternateContent>
        <mc:AlternateContent xmlns:mc="http://schemas.openxmlformats.org/markup-compatibility/2006">
          <mc:Choice Requires="x14">
            <control shapeId="3331" r:id="rId67" name="Drop Down 259">
              <controlPr locked="0" defaultSize="0" autoFill="0" autoLine="0" autoPict="0">
                <anchor moveWithCells="1">
                  <from>
                    <xdr:col>3</xdr:col>
                    <xdr:colOff>15240</xdr:colOff>
                    <xdr:row>16</xdr:row>
                    <xdr:rowOff>15240</xdr:rowOff>
                  </from>
                  <to>
                    <xdr:col>4</xdr:col>
                    <xdr:colOff>15240</xdr:colOff>
                    <xdr:row>17</xdr:row>
                    <xdr:rowOff>0</xdr:rowOff>
                  </to>
                </anchor>
              </controlPr>
            </control>
          </mc:Choice>
        </mc:AlternateContent>
        <mc:AlternateContent xmlns:mc="http://schemas.openxmlformats.org/markup-compatibility/2006">
          <mc:Choice Requires="x14">
            <control shapeId="3335" r:id="rId68" name="Drop Down 263">
              <controlPr locked="0" defaultSize="0" autoFill="0" autoLine="0" autoPict="0">
                <anchor moveWithCells="1">
                  <from>
                    <xdr:col>3</xdr:col>
                    <xdr:colOff>15240</xdr:colOff>
                    <xdr:row>17</xdr:row>
                    <xdr:rowOff>15240</xdr:rowOff>
                  </from>
                  <to>
                    <xdr:col>4</xdr:col>
                    <xdr:colOff>15240</xdr:colOff>
                    <xdr:row>18</xdr:row>
                    <xdr:rowOff>0</xdr:rowOff>
                  </to>
                </anchor>
              </controlPr>
            </control>
          </mc:Choice>
        </mc:AlternateContent>
        <mc:AlternateContent xmlns:mc="http://schemas.openxmlformats.org/markup-compatibility/2006">
          <mc:Choice Requires="x14">
            <control shapeId="3339" r:id="rId69" name="Drop Down 267">
              <controlPr locked="0" defaultSize="0" autoFill="0" autoLine="0" autoPict="0">
                <anchor moveWithCells="1">
                  <from>
                    <xdr:col>3</xdr:col>
                    <xdr:colOff>15240</xdr:colOff>
                    <xdr:row>18</xdr:row>
                    <xdr:rowOff>15240</xdr:rowOff>
                  </from>
                  <to>
                    <xdr:col>4</xdr:col>
                    <xdr:colOff>15240</xdr:colOff>
                    <xdr:row>19</xdr:row>
                    <xdr:rowOff>0</xdr:rowOff>
                  </to>
                </anchor>
              </controlPr>
            </control>
          </mc:Choice>
        </mc:AlternateContent>
        <mc:AlternateContent xmlns:mc="http://schemas.openxmlformats.org/markup-compatibility/2006">
          <mc:Choice Requires="x14">
            <control shapeId="3343" r:id="rId70" name="Drop Down 271">
              <controlPr locked="0" defaultSize="0" autoFill="0" autoLine="0" autoPict="0">
                <anchor moveWithCells="1">
                  <from>
                    <xdr:col>3</xdr:col>
                    <xdr:colOff>15240</xdr:colOff>
                    <xdr:row>19</xdr:row>
                    <xdr:rowOff>15240</xdr:rowOff>
                  </from>
                  <to>
                    <xdr:col>4</xdr:col>
                    <xdr:colOff>15240</xdr:colOff>
                    <xdr:row>20</xdr:row>
                    <xdr:rowOff>0</xdr:rowOff>
                  </to>
                </anchor>
              </controlPr>
            </control>
          </mc:Choice>
        </mc:AlternateContent>
        <mc:AlternateContent xmlns:mc="http://schemas.openxmlformats.org/markup-compatibility/2006">
          <mc:Choice Requires="x14">
            <control shapeId="3347" r:id="rId71" name="Drop Down 275">
              <controlPr locked="0" defaultSize="0" autoFill="0" autoLine="0" autoPict="0">
                <anchor moveWithCells="1">
                  <from>
                    <xdr:col>3</xdr:col>
                    <xdr:colOff>15240</xdr:colOff>
                    <xdr:row>20</xdr:row>
                    <xdr:rowOff>15240</xdr:rowOff>
                  </from>
                  <to>
                    <xdr:col>4</xdr:col>
                    <xdr:colOff>15240</xdr:colOff>
                    <xdr:row>21</xdr:row>
                    <xdr:rowOff>0</xdr:rowOff>
                  </to>
                </anchor>
              </controlPr>
            </control>
          </mc:Choice>
        </mc:AlternateContent>
        <mc:AlternateContent xmlns:mc="http://schemas.openxmlformats.org/markup-compatibility/2006">
          <mc:Choice Requires="x14">
            <control shapeId="3351" r:id="rId72" name="Drop Down 279">
              <controlPr locked="0" defaultSize="0" autoFill="0" autoLine="0" autoPict="0">
                <anchor moveWithCells="1">
                  <from>
                    <xdr:col>3</xdr:col>
                    <xdr:colOff>15240</xdr:colOff>
                    <xdr:row>21</xdr:row>
                    <xdr:rowOff>15240</xdr:rowOff>
                  </from>
                  <to>
                    <xdr:col>4</xdr:col>
                    <xdr:colOff>15240</xdr:colOff>
                    <xdr:row>22</xdr:row>
                    <xdr:rowOff>0</xdr:rowOff>
                  </to>
                </anchor>
              </controlPr>
            </control>
          </mc:Choice>
        </mc:AlternateContent>
        <mc:AlternateContent xmlns:mc="http://schemas.openxmlformats.org/markup-compatibility/2006">
          <mc:Choice Requires="x14">
            <control shapeId="3355" r:id="rId73" name="Drop Down 283">
              <controlPr locked="0" defaultSize="0" autoFill="0" autoLine="0" autoPict="0">
                <anchor moveWithCells="1">
                  <from>
                    <xdr:col>3</xdr:col>
                    <xdr:colOff>15240</xdr:colOff>
                    <xdr:row>22</xdr:row>
                    <xdr:rowOff>15240</xdr:rowOff>
                  </from>
                  <to>
                    <xdr:col>4</xdr:col>
                    <xdr:colOff>15240</xdr:colOff>
                    <xdr:row>23</xdr:row>
                    <xdr:rowOff>0</xdr:rowOff>
                  </to>
                </anchor>
              </controlPr>
            </control>
          </mc:Choice>
        </mc:AlternateContent>
        <mc:AlternateContent xmlns:mc="http://schemas.openxmlformats.org/markup-compatibility/2006">
          <mc:Choice Requires="x14">
            <control shapeId="3359" r:id="rId74" name="Drop Down 287">
              <controlPr locked="0" defaultSize="0" autoFill="0" autoLine="0" autoPict="0">
                <anchor moveWithCells="1">
                  <from>
                    <xdr:col>3</xdr:col>
                    <xdr:colOff>15240</xdr:colOff>
                    <xdr:row>23</xdr:row>
                    <xdr:rowOff>15240</xdr:rowOff>
                  </from>
                  <to>
                    <xdr:col>4</xdr:col>
                    <xdr:colOff>15240</xdr:colOff>
                    <xdr:row>24</xdr:row>
                    <xdr:rowOff>0</xdr:rowOff>
                  </to>
                </anchor>
              </controlPr>
            </control>
          </mc:Choice>
        </mc:AlternateContent>
        <mc:AlternateContent xmlns:mc="http://schemas.openxmlformats.org/markup-compatibility/2006">
          <mc:Choice Requires="x14">
            <control shapeId="3363" r:id="rId75" name="Drop Down 291">
              <controlPr locked="0" defaultSize="0" autoFill="0" autoLine="0" autoPict="0">
                <anchor moveWithCells="1">
                  <from>
                    <xdr:col>3</xdr:col>
                    <xdr:colOff>15240</xdr:colOff>
                    <xdr:row>24</xdr:row>
                    <xdr:rowOff>15240</xdr:rowOff>
                  </from>
                  <to>
                    <xdr:col>4</xdr:col>
                    <xdr:colOff>15240</xdr:colOff>
                    <xdr:row>25</xdr:row>
                    <xdr:rowOff>0</xdr:rowOff>
                  </to>
                </anchor>
              </controlPr>
            </control>
          </mc:Choice>
        </mc:AlternateContent>
        <mc:AlternateContent xmlns:mc="http://schemas.openxmlformats.org/markup-compatibility/2006">
          <mc:Choice Requires="x14">
            <control shapeId="3367" r:id="rId76" name="Drop Down 295">
              <controlPr locked="0" defaultSize="0" autoFill="0" autoLine="0" autoPict="0">
                <anchor moveWithCells="1">
                  <from>
                    <xdr:col>3</xdr:col>
                    <xdr:colOff>15240</xdr:colOff>
                    <xdr:row>25</xdr:row>
                    <xdr:rowOff>15240</xdr:rowOff>
                  </from>
                  <to>
                    <xdr:col>4</xdr:col>
                    <xdr:colOff>15240</xdr:colOff>
                    <xdr:row>26</xdr:row>
                    <xdr:rowOff>0</xdr:rowOff>
                  </to>
                </anchor>
              </controlPr>
            </control>
          </mc:Choice>
        </mc:AlternateContent>
        <mc:AlternateContent xmlns:mc="http://schemas.openxmlformats.org/markup-compatibility/2006">
          <mc:Choice Requires="x14">
            <control shapeId="3371" r:id="rId77" name="Drop Down 299">
              <controlPr locked="0" defaultSize="0" autoFill="0" autoLine="0" autoPict="0">
                <anchor moveWithCells="1">
                  <from>
                    <xdr:col>3</xdr:col>
                    <xdr:colOff>15240</xdr:colOff>
                    <xdr:row>26</xdr:row>
                    <xdr:rowOff>15240</xdr:rowOff>
                  </from>
                  <to>
                    <xdr:col>4</xdr:col>
                    <xdr:colOff>15240</xdr:colOff>
                    <xdr:row>27</xdr:row>
                    <xdr:rowOff>0</xdr:rowOff>
                  </to>
                </anchor>
              </controlPr>
            </control>
          </mc:Choice>
        </mc:AlternateContent>
        <mc:AlternateContent xmlns:mc="http://schemas.openxmlformats.org/markup-compatibility/2006">
          <mc:Choice Requires="x14">
            <control shapeId="3375" r:id="rId78" name="Drop Down 303">
              <controlPr locked="0" defaultSize="0" autoFill="0" autoLine="0" autoPict="0">
                <anchor moveWithCells="1">
                  <from>
                    <xdr:col>3</xdr:col>
                    <xdr:colOff>15240</xdr:colOff>
                    <xdr:row>27</xdr:row>
                    <xdr:rowOff>15240</xdr:rowOff>
                  </from>
                  <to>
                    <xdr:col>4</xdr:col>
                    <xdr:colOff>15240</xdr:colOff>
                    <xdr:row>28</xdr:row>
                    <xdr:rowOff>0</xdr:rowOff>
                  </to>
                </anchor>
              </controlPr>
            </control>
          </mc:Choice>
        </mc:AlternateContent>
        <mc:AlternateContent xmlns:mc="http://schemas.openxmlformats.org/markup-compatibility/2006">
          <mc:Choice Requires="x14">
            <control shapeId="3379" r:id="rId79" name="Drop Down 307">
              <controlPr locked="0" defaultSize="0" autoFill="0" autoLine="0" autoPict="0">
                <anchor moveWithCells="1">
                  <from>
                    <xdr:col>3</xdr:col>
                    <xdr:colOff>15240</xdr:colOff>
                    <xdr:row>28</xdr:row>
                    <xdr:rowOff>15240</xdr:rowOff>
                  </from>
                  <to>
                    <xdr:col>4</xdr:col>
                    <xdr:colOff>15240</xdr:colOff>
                    <xdr:row>29</xdr:row>
                    <xdr:rowOff>0</xdr:rowOff>
                  </to>
                </anchor>
              </controlPr>
            </control>
          </mc:Choice>
        </mc:AlternateContent>
        <mc:AlternateContent xmlns:mc="http://schemas.openxmlformats.org/markup-compatibility/2006">
          <mc:Choice Requires="x14">
            <control shapeId="3400" r:id="rId80" name="Drop Down 328">
              <controlPr locked="0" defaultSize="0" autoFill="0" autoLine="0" autoPict="0">
                <anchor moveWithCells="1">
                  <from>
                    <xdr:col>3</xdr:col>
                    <xdr:colOff>15240</xdr:colOff>
                    <xdr:row>4</xdr:row>
                    <xdr:rowOff>15240</xdr:rowOff>
                  </from>
                  <to>
                    <xdr:col>4</xdr:col>
                    <xdr:colOff>15240</xdr:colOff>
                    <xdr:row>5</xdr:row>
                    <xdr:rowOff>0</xdr:rowOff>
                  </to>
                </anchor>
              </controlPr>
            </control>
          </mc:Choice>
        </mc:AlternateContent>
        <mc:AlternateContent xmlns:mc="http://schemas.openxmlformats.org/markup-compatibility/2006">
          <mc:Choice Requires="x14">
            <control shapeId="3404" r:id="rId81" name="Drop Down 332">
              <controlPr locked="0" defaultSize="0" autoFill="0" autoLine="0" autoPict="0">
                <anchor moveWithCells="1">
                  <from>
                    <xdr:col>3</xdr:col>
                    <xdr:colOff>15240</xdr:colOff>
                    <xdr:row>5</xdr:row>
                    <xdr:rowOff>15240</xdr:rowOff>
                  </from>
                  <to>
                    <xdr:col>4</xdr:col>
                    <xdr:colOff>15240</xdr:colOff>
                    <xdr:row>6</xdr:row>
                    <xdr:rowOff>0</xdr:rowOff>
                  </to>
                </anchor>
              </controlPr>
            </control>
          </mc:Choice>
        </mc:AlternateContent>
        <mc:AlternateContent xmlns:mc="http://schemas.openxmlformats.org/markup-compatibility/2006">
          <mc:Choice Requires="x14">
            <control shapeId="3408" r:id="rId82" name="Drop Down 336">
              <controlPr locked="0" defaultSize="0" autoFill="0" autoLine="0" autoPict="0">
                <anchor moveWithCells="1">
                  <from>
                    <xdr:col>3</xdr:col>
                    <xdr:colOff>15240</xdr:colOff>
                    <xdr:row>6</xdr:row>
                    <xdr:rowOff>15240</xdr:rowOff>
                  </from>
                  <to>
                    <xdr:col>4</xdr:col>
                    <xdr:colOff>15240</xdr:colOff>
                    <xdr:row>7</xdr:row>
                    <xdr:rowOff>0</xdr:rowOff>
                  </to>
                </anchor>
              </controlPr>
            </control>
          </mc:Choice>
        </mc:AlternateContent>
        <mc:AlternateContent xmlns:mc="http://schemas.openxmlformats.org/markup-compatibility/2006">
          <mc:Choice Requires="x14">
            <control shapeId="3412" r:id="rId83" name="Drop Down 340">
              <controlPr locked="0" defaultSize="0" autoFill="0" autoLine="0" autoPict="0">
                <anchor moveWithCells="1">
                  <from>
                    <xdr:col>3</xdr:col>
                    <xdr:colOff>15240</xdr:colOff>
                    <xdr:row>7</xdr:row>
                    <xdr:rowOff>15240</xdr:rowOff>
                  </from>
                  <to>
                    <xdr:col>4</xdr:col>
                    <xdr:colOff>15240</xdr:colOff>
                    <xdr:row>8</xdr:row>
                    <xdr:rowOff>0</xdr:rowOff>
                  </to>
                </anchor>
              </controlPr>
            </control>
          </mc:Choice>
        </mc:AlternateContent>
        <mc:AlternateContent xmlns:mc="http://schemas.openxmlformats.org/markup-compatibility/2006">
          <mc:Choice Requires="x14">
            <control shapeId="3413" r:id="rId84" name="Drop Down 341">
              <controlPr locked="0" defaultSize="0" autoFill="0" autoLine="0" autoPict="0">
                <anchor moveWithCells="1">
                  <from>
                    <xdr:col>4</xdr:col>
                    <xdr:colOff>15240</xdr:colOff>
                    <xdr:row>8</xdr:row>
                    <xdr:rowOff>15240</xdr:rowOff>
                  </from>
                  <to>
                    <xdr:col>5</xdr:col>
                    <xdr:colOff>0</xdr:colOff>
                    <xdr:row>9</xdr:row>
                    <xdr:rowOff>0</xdr:rowOff>
                  </to>
                </anchor>
              </controlPr>
            </control>
          </mc:Choice>
        </mc:AlternateContent>
        <mc:AlternateContent xmlns:mc="http://schemas.openxmlformats.org/markup-compatibility/2006">
          <mc:Choice Requires="x14">
            <control shapeId="3414" r:id="rId85" name="Drop Down 342">
              <controlPr locked="0" defaultSize="0" autoFill="0" autoLine="0" autoPict="0">
                <anchor moveWithCells="1">
                  <from>
                    <xdr:col>4</xdr:col>
                    <xdr:colOff>15240</xdr:colOff>
                    <xdr:row>9</xdr:row>
                    <xdr:rowOff>15240</xdr:rowOff>
                  </from>
                  <to>
                    <xdr:col>5</xdr:col>
                    <xdr:colOff>0</xdr:colOff>
                    <xdr:row>10</xdr:row>
                    <xdr:rowOff>0</xdr:rowOff>
                  </to>
                </anchor>
              </controlPr>
            </control>
          </mc:Choice>
        </mc:AlternateContent>
        <mc:AlternateContent xmlns:mc="http://schemas.openxmlformats.org/markup-compatibility/2006">
          <mc:Choice Requires="x14">
            <control shapeId="3415" r:id="rId86" name="Drop Down 343">
              <controlPr locked="0" defaultSize="0" autoFill="0" autoLine="0" autoPict="0">
                <anchor moveWithCells="1">
                  <from>
                    <xdr:col>4</xdr:col>
                    <xdr:colOff>15240</xdr:colOff>
                    <xdr:row>10</xdr:row>
                    <xdr:rowOff>15240</xdr:rowOff>
                  </from>
                  <to>
                    <xdr:col>5</xdr:col>
                    <xdr:colOff>0</xdr:colOff>
                    <xdr:row>11</xdr:row>
                    <xdr:rowOff>0</xdr:rowOff>
                  </to>
                </anchor>
              </controlPr>
            </control>
          </mc:Choice>
        </mc:AlternateContent>
        <mc:AlternateContent xmlns:mc="http://schemas.openxmlformats.org/markup-compatibility/2006">
          <mc:Choice Requires="x14">
            <control shapeId="3416" r:id="rId87" name="Drop Down 344">
              <controlPr locked="0" defaultSize="0" autoFill="0" autoLine="0" autoPict="0">
                <anchor moveWithCells="1">
                  <from>
                    <xdr:col>4</xdr:col>
                    <xdr:colOff>15240</xdr:colOff>
                    <xdr:row>11</xdr:row>
                    <xdr:rowOff>15240</xdr:rowOff>
                  </from>
                  <to>
                    <xdr:col>5</xdr:col>
                    <xdr:colOff>0</xdr:colOff>
                    <xdr:row>12</xdr:row>
                    <xdr:rowOff>0</xdr:rowOff>
                  </to>
                </anchor>
              </controlPr>
            </control>
          </mc:Choice>
        </mc:AlternateContent>
        <mc:AlternateContent xmlns:mc="http://schemas.openxmlformats.org/markup-compatibility/2006">
          <mc:Choice Requires="x14">
            <control shapeId="3417" r:id="rId88" name="Drop Down 345">
              <controlPr locked="0" defaultSize="0" autoFill="0" autoLine="0" autoPict="0">
                <anchor moveWithCells="1">
                  <from>
                    <xdr:col>4</xdr:col>
                    <xdr:colOff>15240</xdr:colOff>
                    <xdr:row>12</xdr:row>
                    <xdr:rowOff>15240</xdr:rowOff>
                  </from>
                  <to>
                    <xdr:col>5</xdr:col>
                    <xdr:colOff>0</xdr:colOff>
                    <xdr:row>13</xdr:row>
                    <xdr:rowOff>0</xdr:rowOff>
                  </to>
                </anchor>
              </controlPr>
            </control>
          </mc:Choice>
        </mc:AlternateContent>
        <mc:AlternateContent xmlns:mc="http://schemas.openxmlformats.org/markup-compatibility/2006">
          <mc:Choice Requires="x14">
            <control shapeId="3418" r:id="rId89" name="Drop Down 346">
              <controlPr locked="0" defaultSize="0" autoFill="0" autoLine="0" autoPict="0">
                <anchor moveWithCells="1">
                  <from>
                    <xdr:col>4</xdr:col>
                    <xdr:colOff>15240</xdr:colOff>
                    <xdr:row>13</xdr:row>
                    <xdr:rowOff>15240</xdr:rowOff>
                  </from>
                  <to>
                    <xdr:col>5</xdr:col>
                    <xdr:colOff>0</xdr:colOff>
                    <xdr:row>14</xdr:row>
                    <xdr:rowOff>0</xdr:rowOff>
                  </to>
                </anchor>
              </controlPr>
            </control>
          </mc:Choice>
        </mc:AlternateContent>
        <mc:AlternateContent xmlns:mc="http://schemas.openxmlformats.org/markup-compatibility/2006">
          <mc:Choice Requires="x14">
            <control shapeId="3419" r:id="rId90" name="Drop Down 347">
              <controlPr locked="0" defaultSize="0" autoFill="0" autoLine="0" autoPict="0">
                <anchor moveWithCells="1">
                  <from>
                    <xdr:col>4</xdr:col>
                    <xdr:colOff>15240</xdr:colOff>
                    <xdr:row>14</xdr:row>
                    <xdr:rowOff>15240</xdr:rowOff>
                  </from>
                  <to>
                    <xdr:col>5</xdr:col>
                    <xdr:colOff>0</xdr:colOff>
                    <xdr:row>15</xdr:row>
                    <xdr:rowOff>0</xdr:rowOff>
                  </to>
                </anchor>
              </controlPr>
            </control>
          </mc:Choice>
        </mc:AlternateContent>
        <mc:AlternateContent xmlns:mc="http://schemas.openxmlformats.org/markup-compatibility/2006">
          <mc:Choice Requires="x14">
            <control shapeId="3420" r:id="rId91" name="Drop Down 348">
              <controlPr locked="0" defaultSize="0" autoFill="0" autoLine="0" autoPict="0">
                <anchor moveWithCells="1">
                  <from>
                    <xdr:col>4</xdr:col>
                    <xdr:colOff>15240</xdr:colOff>
                    <xdr:row>15</xdr:row>
                    <xdr:rowOff>15240</xdr:rowOff>
                  </from>
                  <to>
                    <xdr:col>5</xdr:col>
                    <xdr:colOff>0</xdr:colOff>
                    <xdr:row>16</xdr:row>
                    <xdr:rowOff>0</xdr:rowOff>
                  </to>
                </anchor>
              </controlPr>
            </control>
          </mc:Choice>
        </mc:AlternateContent>
        <mc:AlternateContent xmlns:mc="http://schemas.openxmlformats.org/markup-compatibility/2006">
          <mc:Choice Requires="x14">
            <control shapeId="3421" r:id="rId92" name="Drop Down 349">
              <controlPr locked="0" defaultSize="0" autoFill="0" autoLine="0" autoPict="0">
                <anchor moveWithCells="1">
                  <from>
                    <xdr:col>4</xdr:col>
                    <xdr:colOff>15240</xdr:colOff>
                    <xdr:row>16</xdr:row>
                    <xdr:rowOff>15240</xdr:rowOff>
                  </from>
                  <to>
                    <xdr:col>5</xdr:col>
                    <xdr:colOff>0</xdr:colOff>
                    <xdr:row>17</xdr:row>
                    <xdr:rowOff>0</xdr:rowOff>
                  </to>
                </anchor>
              </controlPr>
            </control>
          </mc:Choice>
        </mc:AlternateContent>
        <mc:AlternateContent xmlns:mc="http://schemas.openxmlformats.org/markup-compatibility/2006">
          <mc:Choice Requires="x14">
            <control shapeId="3422" r:id="rId93" name="Drop Down 350">
              <controlPr locked="0" defaultSize="0" autoFill="0" autoLine="0" autoPict="0">
                <anchor moveWithCells="1">
                  <from>
                    <xdr:col>4</xdr:col>
                    <xdr:colOff>15240</xdr:colOff>
                    <xdr:row>17</xdr:row>
                    <xdr:rowOff>15240</xdr:rowOff>
                  </from>
                  <to>
                    <xdr:col>5</xdr:col>
                    <xdr:colOff>0</xdr:colOff>
                    <xdr:row>18</xdr:row>
                    <xdr:rowOff>0</xdr:rowOff>
                  </to>
                </anchor>
              </controlPr>
            </control>
          </mc:Choice>
        </mc:AlternateContent>
        <mc:AlternateContent xmlns:mc="http://schemas.openxmlformats.org/markup-compatibility/2006">
          <mc:Choice Requires="x14">
            <control shapeId="3423" r:id="rId94" name="Drop Down 351">
              <controlPr locked="0" defaultSize="0" autoFill="0" autoLine="0" autoPict="0">
                <anchor moveWithCells="1">
                  <from>
                    <xdr:col>4</xdr:col>
                    <xdr:colOff>15240</xdr:colOff>
                    <xdr:row>18</xdr:row>
                    <xdr:rowOff>15240</xdr:rowOff>
                  </from>
                  <to>
                    <xdr:col>5</xdr:col>
                    <xdr:colOff>0</xdr:colOff>
                    <xdr:row>19</xdr:row>
                    <xdr:rowOff>0</xdr:rowOff>
                  </to>
                </anchor>
              </controlPr>
            </control>
          </mc:Choice>
        </mc:AlternateContent>
        <mc:AlternateContent xmlns:mc="http://schemas.openxmlformats.org/markup-compatibility/2006">
          <mc:Choice Requires="x14">
            <control shapeId="3424" r:id="rId95" name="Drop Down 352">
              <controlPr locked="0" defaultSize="0" autoFill="0" autoLine="0" autoPict="0">
                <anchor moveWithCells="1">
                  <from>
                    <xdr:col>4</xdr:col>
                    <xdr:colOff>15240</xdr:colOff>
                    <xdr:row>19</xdr:row>
                    <xdr:rowOff>15240</xdr:rowOff>
                  </from>
                  <to>
                    <xdr:col>5</xdr:col>
                    <xdr:colOff>0</xdr:colOff>
                    <xdr:row>20</xdr:row>
                    <xdr:rowOff>0</xdr:rowOff>
                  </to>
                </anchor>
              </controlPr>
            </control>
          </mc:Choice>
        </mc:AlternateContent>
        <mc:AlternateContent xmlns:mc="http://schemas.openxmlformats.org/markup-compatibility/2006">
          <mc:Choice Requires="x14">
            <control shapeId="3425" r:id="rId96" name="Drop Down 353">
              <controlPr locked="0" defaultSize="0" autoFill="0" autoLine="0" autoPict="0">
                <anchor moveWithCells="1">
                  <from>
                    <xdr:col>4</xdr:col>
                    <xdr:colOff>15240</xdr:colOff>
                    <xdr:row>20</xdr:row>
                    <xdr:rowOff>15240</xdr:rowOff>
                  </from>
                  <to>
                    <xdr:col>5</xdr:col>
                    <xdr:colOff>0</xdr:colOff>
                    <xdr:row>21</xdr:row>
                    <xdr:rowOff>0</xdr:rowOff>
                  </to>
                </anchor>
              </controlPr>
            </control>
          </mc:Choice>
        </mc:AlternateContent>
        <mc:AlternateContent xmlns:mc="http://schemas.openxmlformats.org/markup-compatibility/2006">
          <mc:Choice Requires="x14">
            <control shapeId="3426" r:id="rId97" name="Drop Down 354">
              <controlPr locked="0" defaultSize="0" autoFill="0" autoLine="0" autoPict="0">
                <anchor moveWithCells="1">
                  <from>
                    <xdr:col>4</xdr:col>
                    <xdr:colOff>15240</xdr:colOff>
                    <xdr:row>21</xdr:row>
                    <xdr:rowOff>15240</xdr:rowOff>
                  </from>
                  <to>
                    <xdr:col>5</xdr:col>
                    <xdr:colOff>0</xdr:colOff>
                    <xdr:row>22</xdr:row>
                    <xdr:rowOff>0</xdr:rowOff>
                  </to>
                </anchor>
              </controlPr>
            </control>
          </mc:Choice>
        </mc:AlternateContent>
        <mc:AlternateContent xmlns:mc="http://schemas.openxmlformats.org/markup-compatibility/2006">
          <mc:Choice Requires="x14">
            <control shapeId="3427" r:id="rId98" name="Drop Down 355">
              <controlPr locked="0" defaultSize="0" autoFill="0" autoLine="0" autoPict="0">
                <anchor moveWithCells="1">
                  <from>
                    <xdr:col>4</xdr:col>
                    <xdr:colOff>15240</xdr:colOff>
                    <xdr:row>22</xdr:row>
                    <xdr:rowOff>15240</xdr:rowOff>
                  </from>
                  <to>
                    <xdr:col>5</xdr:col>
                    <xdr:colOff>0</xdr:colOff>
                    <xdr:row>23</xdr:row>
                    <xdr:rowOff>0</xdr:rowOff>
                  </to>
                </anchor>
              </controlPr>
            </control>
          </mc:Choice>
        </mc:AlternateContent>
        <mc:AlternateContent xmlns:mc="http://schemas.openxmlformats.org/markup-compatibility/2006">
          <mc:Choice Requires="x14">
            <control shapeId="3428" r:id="rId99" name="Drop Down 356">
              <controlPr locked="0" defaultSize="0" autoFill="0" autoLine="0" autoPict="0">
                <anchor moveWithCells="1">
                  <from>
                    <xdr:col>4</xdr:col>
                    <xdr:colOff>15240</xdr:colOff>
                    <xdr:row>23</xdr:row>
                    <xdr:rowOff>15240</xdr:rowOff>
                  </from>
                  <to>
                    <xdr:col>5</xdr:col>
                    <xdr:colOff>0</xdr:colOff>
                    <xdr:row>24</xdr:row>
                    <xdr:rowOff>0</xdr:rowOff>
                  </to>
                </anchor>
              </controlPr>
            </control>
          </mc:Choice>
        </mc:AlternateContent>
        <mc:AlternateContent xmlns:mc="http://schemas.openxmlformats.org/markup-compatibility/2006">
          <mc:Choice Requires="x14">
            <control shapeId="3429" r:id="rId100" name="Drop Down 357">
              <controlPr locked="0" defaultSize="0" autoFill="0" autoLine="0" autoPict="0">
                <anchor moveWithCells="1">
                  <from>
                    <xdr:col>4</xdr:col>
                    <xdr:colOff>15240</xdr:colOff>
                    <xdr:row>24</xdr:row>
                    <xdr:rowOff>15240</xdr:rowOff>
                  </from>
                  <to>
                    <xdr:col>5</xdr:col>
                    <xdr:colOff>0</xdr:colOff>
                    <xdr:row>25</xdr:row>
                    <xdr:rowOff>0</xdr:rowOff>
                  </to>
                </anchor>
              </controlPr>
            </control>
          </mc:Choice>
        </mc:AlternateContent>
        <mc:AlternateContent xmlns:mc="http://schemas.openxmlformats.org/markup-compatibility/2006">
          <mc:Choice Requires="x14">
            <control shapeId="3430" r:id="rId101" name="Drop Down 358">
              <controlPr locked="0" defaultSize="0" autoFill="0" autoLine="0" autoPict="0">
                <anchor moveWithCells="1">
                  <from>
                    <xdr:col>4</xdr:col>
                    <xdr:colOff>15240</xdr:colOff>
                    <xdr:row>25</xdr:row>
                    <xdr:rowOff>15240</xdr:rowOff>
                  </from>
                  <to>
                    <xdr:col>5</xdr:col>
                    <xdr:colOff>0</xdr:colOff>
                    <xdr:row>26</xdr:row>
                    <xdr:rowOff>0</xdr:rowOff>
                  </to>
                </anchor>
              </controlPr>
            </control>
          </mc:Choice>
        </mc:AlternateContent>
        <mc:AlternateContent xmlns:mc="http://schemas.openxmlformats.org/markup-compatibility/2006">
          <mc:Choice Requires="x14">
            <control shapeId="3431" r:id="rId102" name="Drop Down 359">
              <controlPr locked="0" defaultSize="0" autoFill="0" autoLine="0" autoPict="0">
                <anchor moveWithCells="1">
                  <from>
                    <xdr:col>4</xdr:col>
                    <xdr:colOff>15240</xdr:colOff>
                    <xdr:row>26</xdr:row>
                    <xdr:rowOff>15240</xdr:rowOff>
                  </from>
                  <to>
                    <xdr:col>5</xdr:col>
                    <xdr:colOff>0</xdr:colOff>
                    <xdr:row>27</xdr:row>
                    <xdr:rowOff>0</xdr:rowOff>
                  </to>
                </anchor>
              </controlPr>
            </control>
          </mc:Choice>
        </mc:AlternateContent>
        <mc:AlternateContent xmlns:mc="http://schemas.openxmlformats.org/markup-compatibility/2006">
          <mc:Choice Requires="x14">
            <control shapeId="3432" r:id="rId103" name="Drop Down 360">
              <controlPr locked="0" defaultSize="0" autoFill="0" autoLine="0" autoPict="0">
                <anchor moveWithCells="1">
                  <from>
                    <xdr:col>4</xdr:col>
                    <xdr:colOff>15240</xdr:colOff>
                    <xdr:row>27</xdr:row>
                    <xdr:rowOff>15240</xdr:rowOff>
                  </from>
                  <to>
                    <xdr:col>5</xdr:col>
                    <xdr:colOff>0</xdr:colOff>
                    <xdr:row>28</xdr:row>
                    <xdr:rowOff>0</xdr:rowOff>
                  </to>
                </anchor>
              </controlPr>
            </control>
          </mc:Choice>
        </mc:AlternateContent>
        <mc:AlternateContent xmlns:mc="http://schemas.openxmlformats.org/markup-compatibility/2006">
          <mc:Choice Requires="x14">
            <control shapeId="3433" r:id="rId104" name="Drop Down 361">
              <controlPr locked="0" defaultSize="0" autoFill="0" autoLine="0" autoPict="0">
                <anchor moveWithCells="1">
                  <from>
                    <xdr:col>4</xdr:col>
                    <xdr:colOff>15240</xdr:colOff>
                    <xdr:row>28</xdr:row>
                    <xdr:rowOff>15240</xdr:rowOff>
                  </from>
                  <to>
                    <xdr:col>5</xdr:col>
                    <xdr:colOff>0</xdr:colOff>
                    <xdr:row>29</xdr:row>
                    <xdr:rowOff>0</xdr:rowOff>
                  </to>
                </anchor>
              </controlPr>
            </control>
          </mc:Choice>
        </mc:AlternateContent>
        <mc:AlternateContent xmlns:mc="http://schemas.openxmlformats.org/markup-compatibility/2006">
          <mc:Choice Requires="x14">
            <control shapeId="3434" r:id="rId105" name="Drop Down 362">
              <controlPr locked="0" defaultSize="0" autoFill="0" autoLine="0" autoPict="0">
                <anchor moveWithCells="1">
                  <from>
                    <xdr:col>4</xdr:col>
                    <xdr:colOff>15240</xdr:colOff>
                    <xdr:row>4</xdr:row>
                    <xdr:rowOff>15240</xdr:rowOff>
                  </from>
                  <to>
                    <xdr:col>5</xdr:col>
                    <xdr:colOff>0</xdr:colOff>
                    <xdr:row>5</xdr:row>
                    <xdr:rowOff>0</xdr:rowOff>
                  </to>
                </anchor>
              </controlPr>
            </control>
          </mc:Choice>
        </mc:AlternateContent>
        <mc:AlternateContent xmlns:mc="http://schemas.openxmlformats.org/markup-compatibility/2006">
          <mc:Choice Requires="x14">
            <control shapeId="3435" r:id="rId106" name="Drop Down 363">
              <controlPr locked="0" defaultSize="0" autoFill="0" autoLine="0" autoPict="0">
                <anchor moveWithCells="1">
                  <from>
                    <xdr:col>4</xdr:col>
                    <xdr:colOff>15240</xdr:colOff>
                    <xdr:row>5</xdr:row>
                    <xdr:rowOff>15240</xdr:rowOff>
                  </from>
                  <to>
                    <xdr:col>5</xdr:col>
                    <xdr:colOff>0</xdr:colOff>
                    <xdr:row>6</xdr:row>
                    <xdr:rowOff>0</xdr:rowOff>
                  </to>
                </anchor>
              </controlPr>
            </control>
          </mc:Choice>
        </mc:AlternateContent>
        <mc:AlternateContent xmlns:mc="http://schemas.openxmlformats.org/markup-compatibility/2006">
          <mc:Choice Requires="x14">
            <control shapeId="3436" r:id="rId107" name="Drop Down 364">
              <controlPr locked="0" defaultSize="0" autoFill="0" autoLine="0" autoPict="0">
                <anchor moveWithCells="1">
                  <from>
                    <xdr:col>4</xdr:col>
                    <xdr:colOff>15240</xdr:colOff>
                    <xdr:row>6</xdr:row>
                    <xdr:rowOff>15240</xdr:rowOff>
                  </from>
                  <to>
                    <xdr:col>5</xdr:col>
                    <xdr:colOff>0</xdr:colOff>
                    <xdr:row>7</xdr:row>
                    <xdr:rowOff>0</xdr:rowOff>
                  </to>
                </anchor>
              </controlPr>
            </control>
          </mc:Choice>
        </mc:AlternateContent>
        <mc:AlternateContent xmlns:mc="http://schemas.openxmlformats.org/markup-compatibility/2006">
          <mc:Choice Requires="x14">
            <control shapeId="3437" r:id="rId108" name="Drop Down 365">
              <controlPr locked="0" defaultSize="0" autoFill="0" autoLine="0" autoPict="0">
                <anchor moveWithCells="1">
                  <from>
                    <xdr:col>4</xdr:col>
                    <xdr:colOff>15240</xdr:colOff>
                    <xdr:row>7</xdr:row>
                    <xdr:rowOff>15240</xdr:rowOff>
                  </from>
                  <to>
                    <xdr:col>5</xdr:col>
                    <xdr:colOff>0</xdr:colOff>
                    <xdr:row>8</xdr:row>
                    <xdr:rowOff>0</xdr:rowOff>
                  </to>
                </anchor>
              </controlPr>
            </control>
          </mc:Choice>
        </mc:AlternateContent>
        <mc:AlternateContent xmlns:mc="http://schemas.openxmlformats.org/markup-compatibility/2006">
          <mc:Choice Requires="x14">
            <control shapeId="3438" r:id="rId109" name="Drop Down 366">
              <controlPr locked="0" defaultSize="0" autoFill="0" autoLine="0" autoPict="0">
                <anchor moveWithCells="1">
                  <from>
                    <xdr:col>5</xdr:col>
                    <xdr:colOff>15240</xdr:colOff>
                    <xdr:row>8</xdr:row>
                    <xdr:rowOff>15240</xdr:rowOff>
                  </from>
                  <to>
                    <xdr:col>6</xdr:col>
                    <xdr:colOff>0</xdr:colOff>
                    <xdr:row>9</xdr:row>
                    <xdr:rowOff>0</xdr:rowOff>
                  </to>
                </anchor>
              </controlPr>
            </control>
          </mc:Choice>
        </mc:AlternateContent>
        <mc:AlternateContent xmlns:mc="http://schemas.openxmlformats.org/markup-compatibility/2006">
          <mc:Choice Requires="x14">
            <control shapeId="3439" r:id="rId110" name="Drop Down 367">
              <controlPr locked="0" defaultSize="0" autoFill="0" autoLine="0" autoPict="0">
                <anchor moveWithCells="1">
                  <from>
                    <xdr:col>5</xdr:col>
                    <xdr:colOff>15240</xdr:colOff>
                    <xdr:row>9</xdr:row>
                    <xdr:rowOff>15240</xdr:rowOff>
                  </from>
                  <to>
                    <xdr:col>6</xdr:col>
                    <xdr:colOff>0</xdr:colOff>
                    <xdr:row>10</xdr:row>
                    <xdr:rowOff>0</xdr:rowOff>
                  </to>
                </anchor>
              </controlPr>
            </control>
          </mc:Choice>
        </mc:AlternateContent>
        <mc:AlternateContent xmlns:mc="http://schemas.openxmlformats.org/markup-compatibility/2006">
          <mc:Choice Requires="x14">
            <control shapeId="3440" r:id="rId111" name="Drop Down 368">
              <controlPr locked="0" defaultSize="0" autoFill="0" autoLine="0" autoPict="0">
                <anchor moveWithCells="1">
                  <from>
                    <xdr:col>5</xdr:col>
                    <xdr:colOff>15240</xdr:colOff>
                    <xdr:row>10</xdr:row>
                    <xdr:rowOff>15240</xdr:rowOff>
                  </from>
                  <to>
                    <xdr:col>6</xdr:col>
                    <xdr:colOff>0</xdr:colOff>
                    <xdr:row>11</xdr:row>
                    <xdr:rowOff>0</xdr:rowOff>
                  </to>
                </anchor>
              </controlPr>
            </control>
          </mc:Choice>
        </mc:AlternateContent>
        <mc:AlternateContent xmlns:mc="http://schemas.openxmlformats.org/markup-compatibility/2006">
          <mc:Choice Requires="x14">
            <control shapeId="3441" r:id="rId112" name="Drop Down 369">
              <controlPr locked="0" defaultSize="0" autoFill="0" autoLine="0" autoPict="0">
                <anchor moveWithCells="1">
                  <from>
                    <xdr:col>5</xdr:col>
                    <xdr:colOff>15240</xdr:colOff>
                    <xdr:row>11</xdr:row>
                    <xdr:rowOff>15240</xdr:rowOff>
                  </from>
                  <to>
                    <xdr:col>6</xdr:col>
                    <xdr:colOff>0</xdr:colOff>
                    <xdr:row>12</xdr:row>
                    <xdr:rowOff>0</xdr:rowOff>
                  </to>
                </anchor>
              </controlPr>
            </control>
          </mc:Choice>
        </mc:AlternateContent>
        <mc:AlternateContent xmlns:mc="http://schemas.openxmlformats.org/markup-compatibility/2006">
          <mc:Choice Requires="x14">
            <control shapeId="3442" r:id="rId113" name="Drop Down 370">
              <controlPr locked="0" defaultSize="0" autoFill="0" autoLine="0" autoPict="0">
                <anchor moveWithCells="1">
                  <from>
                    <xdr:col>5</xdr:col>
                    <xdr:colOff>15240</xdr:colOff>
                    <xdr:row>12</xdr:row>
                    <xdr:rowOff>15240</xdr:rowOff>
                  </from>
                  <to>
                    <xdr:col>6</xdr:col>
                    <xdr:colOff>0</xdr:colOff>
                    <xdr:row>13</xdr:row>
                    <xdr:rowOff>0</xdr:rowOff>
                  </to>
                </anchor>
              </controlPr>
            </control>
          </mc:Choice>
        </mc:AlternateContent>
        <mc:AlternateContent xmlns:mc="http://schemas.openxmlformats.org/markup-compatibility/2006">
          <mc:Choice Requires="x14">
            <control shapeId="3443" r:id="rId114" name="Drop Down 371">
              <controlPr locked="0" defaultSize="0" autoFill="0" autoLine="0" autoPict="0">
                <anchor moveWithCells="1">
                  <from>
                    <xdr:col>5</xdr:col>
                    <xdr:colOff>15240</xdr:colOff>
                    <xdr:row>13</xdr:row>
                    <xdr:rowOff>15240</xdr:rowOff>
                  </from>
                  <to>
                    <xdr:col>6</xdr:col>
                    <xdr:colOff>0</xdr:colOff>
                    <xdr:row>14</xdr:row>
                    <xdr:rowOff>0</xdr:rowOff>
                  </to>
                </anchor>
              </controlPr>
            </control>
          </mc:Choice>
        </mc:AlternateContent>
        <mc:AlternateContent xmlns:mc="http://schemas.openxmlformats.org/markup-compatibility/2006">
          <mc:Choice Requires="x14">
            <control shapeId="3444" r:id="rId115" name="Drop Down 372">
              <controlPr locked="0" defaultSize="0" autoFill="0" autoLine="0" autoPict="0">
                <anchor moveWithCells="1">
                  <from>
                    <xdr:col>5</xdr:col>
                    <xdr:colOff>15240</xdr:colOff>
                    <xdr:row>14</xdr:row>
                    <xdr:rowOff>15240</xdr:rowOff>
                  </from>
                  <to>
                    <xdr:col>6</xdr:col>
                    <xdr:colOff>0</xdr:colOff>
                    <xdr:row>15</xdr:row>
                    <xdr:rowOff>0</xdr:rowOff>
                  </to>
                </anchor>
              </controlPr>
            </control>
          </mc:Choice>
        </mc:AlternateContent>
        <mc:AlternateContent xmlns:mc="http://schemas.openxmlformats.org/markup-compatibility/2006">
          <mc:Choice Requires="x14">
            <control shapeId="3445" r:id="rId116" name="Drop Down 373">
              <controlPr locked="0" defaultSize="0" autoFill="0" autoLine="0" autoPict="0">
                <anchor moveWithCells="1">
                  <from>
                    <xdr:col>5</xdr:col>
                    <xdr:colOff>15240</xdr:colOff>
                    <xdr:row>15</xdr:row>
                    <xdr:rowOff>15240</xdr:rowOff>
                  </from>
                  <to>
                    <xdr:col>6</xdr:col>
                    <xdr:colOff>0</xdr:colOff>
                    <xdr:row>16</xdr:row>
                    <xdr:rowOff>0</xdr:rowOff>
                  </to>
                </anchor>
              </controlPr>
            </control>
          </mc:Choice>
        </mc:AlternateContent>
        <mc:AlternateContent xmlns:mc="http://schemas.openxmlformats.org/markup-compatibility/2006">
          <mc:Choice Requires="x14">
            <control shapeId="3446" r:id="rId117" name="Drop Down 374">
              <controlPr locked="0" defaultSize="0" autoFill="0" autoLine="0" autoPict="0">
                <anchor moveWithCells="1">
                  <from>
                    <xdr:col>5</xdr:col>
                    <xdr:colOff>15240</xdr:colOff>
                    <xdr:row>16</xdr:row>
                    <xdr:rowOff>15240</xdr:rowOff>
                  </from>
                  <to>
                    <xdr:col>6</xdr:col>
                    <xdr:colOff>0</xdr:colOff>
                    <xdr:row>17</xdr:row>
                    <xdr:rowOff>0</xdr:rowOff>
                  </to>
                </anchor>
              </controlPr>
            </control>
          </mc:Choice>
        </mc:AlternateContent>
        <mc:AlternateContent xmlns:mc="http://schemas.openxmlformats.org/markup-compatibility/2006">
          <mc:Choice Requires="x14">
            <control shapeId="3447" r:id="rId118" name="Drop Down 375">
              <controlPr locked="0" defaultSize="0" autoFill="0" autoLine="0" autoPict="0">
                <anchor moveWithCells="1">
                  <from>
                    <xdr:col>5</xdr:col>
                    <xdr:colOff>15240</xdr:colOff>
                    <xdr:row>17</xdr:row>
                    <xdr:rowOff>15240</xdr:rowOff>
                  </from>
                  <to>
                    <xdr:col>6</xdr:col>
                    <xdr:colOff>0</xdr:colOff>
                    <xdr:row>18</xdr:row>
                    <xdr:rowOff>0</xdr:rowOff>
                  </to>
                </anchor>
              </controlPr>
            </control>
          </mc:Choice>
        </mc:AlternateContent>
        <mc:AlternateContent xmlns:mc="http://schemas.openxmlformats.org/markup-compatibility/2006">
          <mc:Choice Requires="x14">
            <control shapeId="3448" r:id="rId119" name="Drop Down 376">
              <controlPr locked="0" defaultSize="0" autoFill="0" autoLine="0" autoPict="0">
                <anchor moveWithCells="1">
                  <from>
                    <xdr:col>5</xdr:col>
                    <xdr:colOff>15240</xdr:colOff>
                    <xdr:row>18</xdr:row>
                    <xdr:rowOff>15240</xdr:rowOff>
                  </from>
                  <to>
                    <xdr:col>6</xdr:col>
                    <xdr:colOff>0</xdr:colOff>
                    <xdr:row>19</xdr:row>
                    <xdr:rowOff>0</xdr:rowOff>
                  </to>
                </anchor>
              </controlPr>
            </control>
          </mc:Choice>
        </mc:AlternateContent>
        <mc:AlternateContent xmlns:mc="http://schemas.openxmlformats.org/markup-compatibility/2006">
          <mc:Choice Requires="x14">
            <control shapeId="3449" r:id="rId120" name="Drop Down 377">
              <controlPr locked="0" defaultSize="0" autoFill="0" autoLine="0" autoPict="0">
                <anchor moveWithCells="1">
                  <from>
                    <xdr:col>5</xdr:col>
                    <xdr:colOff>15240</xdr:colOff>
                    <xdr:row>19</xdr:row>
                    <xdr:rowOff>15240</xdr:rowOff>
                  </from>
                  <to>
                    <xdr:col>6</xdr:col>
                    <xdr:colOff>0</xdr:colOff>
                    <xdr:row>20</xdr:row>
                    <xdr:rowOff>0</xdr:rowOff>
                  </to>
                </anchor>
              </controlPr>
            </control>
          </mc:Choice>
        </mc:AlternateContent>
        <mc:AlternateContent xmlns:mc="http://schemas.openxmlformats.org/markup-compatibility/2006">
          <mc:Choice Requires="x14">
            <control shapeId="3450" r:id="rId121" name="Drop Down 378">
              <controlPr locked="0" defaultSize="0" autoFill="0" autoLine="0" autoPict="0">
                <anchor moveWithCells="1">
                  <from>
                    <xdr:col>5</xdr:col>
                    <xdr:colOff>15240</xdr:colOff>
                    <xdr:row>20</xdr:row>
                    <xdr:rowOff>15240</xdr:rowOff>
                  </from>
                  <to>
                    <xdr:col>6</xdr:col>
                    <xdr:colOff>0</xdr:colOff>
                    <xdr:row>21</xdr:row>
                    <xdr:rowOff>0</xdr:rowOff>
                  </to>
                </anchor>
              </controlPr>
            </control>
          </mc:Choice>
        </mc:AlternateContent>
        <mc:AlternateContent xmlns:mc="http://schemas.openxmlformats.org/markup-compatibility/2006">
          <mc:Choice Requires="x14">
            <control shapeId="3451" r:id="rId122" name="Drop Down 379">
              <controlPr locked="0" defaultSize="0" autoFill="0" autoLine="0" autoPict="0">
                <anchor moveWithCells="1">
                  <from>
                    <xdr:col>5</xdr:col>
                    <xdr:colOff>15240</xdr:colOff>
                    <xdr:row>21</xdr:row>
                    <xdr:rowOff>15240</xdr:rowOff>
                  </from>
                  <to>
                    <xdr:col>6</xdr:col>
                    <xdr:colOff>0</xdr:colOff>
                    <xdr:row>22</xdr:row>
                    <xdr:rowOff>0</xdr:rowOff>
                  </to>
                </anchor>
              </controlPr>
            </control>
          </mc:Choice>
        </mc:AlternateContent>
        <mc:AlternateContent xmlns:mc="http://schemas.openxmlformats.org/markup-compatibility/2006">
          <mc:Choice Requires="x14">
            <control shapeId="3452" r:id="rId123" name="Drop Down 380">
              <controlPr locked="0" defaultSize="0" autoFill="0" autoLine="0" autoPict="0">
                <anchor moveWithCells="1">
                  <from>
                    <xdr:col>5</xdr:col>
                    <xdr:colOff>15240</xdr:colOff>
                    <xdr:row>22</xdr:row>
                    <xdr:rowOff>15240</xdr:rowOff>
                  </from>
                  <to>
                    <xdr:col>6</xdr:col>
                    <xdr:colOff>0</xdr:colOff>
                    <xdr:row>23</xdr:row>
                    <xdr:rowOff>0</xdr:rowOff>
                  </to>
                </anchor>
              </controlPr>
            </control>
          </mc:Choice>
        </mc:AlternateContent>
        <mc:AlternateContent xmlns:mc="http://schemas.openxmlformats.org/markup-compatibility/2006">
          <mc:Choice Requires="x14">
            <control shapeId="3453" r:id="rId124" name="Drop Down 381">
              <controlPr locked="0" defaultSize="0" autoFill="0" autoLine="0" autoPict="0">
                <anchor moveWithCells="1">
                  <from>
                    <xdr:col>5</xdr:col>
                    <xdr:colOff>15240</xdr:colOff>
                    <xdr:row>23</xdr:row>
                    <xdr:rowOff>15240</xdr:rowOff>
                  </from>
                  <to>
                    <xdr:col>6</xdr:col>
                    <xdr:colOff>0</xdr:colOff>
                    <xdr:row>24</xdr:row>
                    <xdr:rowOff>0</xdr:rowOff>
                  </to>
                </anchor>
              </controlPr>
            </control>
          </mc:Choice>
        </mc:AlternateContent>
        <mc:AlternateContent xmlns:mc="http://schemas.openxmlformats.org/markup-compatibility/2006">
          <mc:Choice Requires="x14">
            <control shapeId="3454" r:id="rId125" name="Drop Down 382">
              <controlPr locked="0" defaultSize="0" autoFill="0" autoLine="0" autoPict="0">
                <anchor moveWithCells="1">
                  <from>
                    <xdr:col>5</xdr:col>
                    <xdr:colOff>15240</xdr:colOff>
                    <xdr:row>24</xdr:row>
                    <xdr:rowOff>15240</xdr:rowOff>
                  </from>
                  <to>
                    <xdr:col>6</xdr:col>
                    <xdr:colOff>0</xdr:colOff>
                    <xdr:row>25</xdr:row>
                    <xdr:rowOff>0</xdr:rowOff>
                  </to>
                </anchor>
              </controlPr>
            </control>
          </mc:Choice>
        </mc:AlternateContent>
        <mc:AlternateContent xmlns:mc="http://schemas.openxmlformats.org/markup-compatibility/2006">
          <mc:Choice Requires="x14">
            <control shapeId="3455" r:id="rId126" name="Drop Down 383">
              <controlPr locked="0" defaultSize="0" autoFill="0" autoLine="0" autoPict="0">
                <anchor moveWithCells="1">
                  <from>
                    <xdr:col>5</xdr:col>
                    <xdr:colOff>15240</xdr:colOff>
                    <xdr:row>25</xdr:row>
                    <xdr:rowOff>15240</xdr:rowOff>
                  </from>
                  <to>
                    <xdr:col>6</xdr:col>
                    <xdr:colOff>0</xdr:colOff>
                    <xdr:row>26</xdr:row>
                    <xdr:rowOff>0</xdr:rowOff>
                  </to>
                </anchor>
              </controlPr>
            </control>
          </mc:Choice>
        </mc:AlternateContent>
        <mc:AlternateContent xmlns:mc="http://schemas.openxmlformats.org/markup-compatibility/2006">
          <mc:Choice Requires="x14">
            <control shapeId="3456" r:id="rId127" name="Drop Down 384">
              <controlPr locked="0" defaultSize="0" autoFill="0" autoLine="0" autoPict="0">
                <anchor moveWithCells="1">
                  <from>
                    <xdr:col>5</xdr:col>
                    <xdr:colOff>15240</xdr:colOff>
                    <xdr:row>26</xdr:row>
                    <xdr:rowOff>15240</xdr:rowOff>
                  </from>
                  <to>
                    <xdr:col>6</xdr:col>
                    <xdr:colOff>0</xdr:colOff>
                    <xdr:row>27</xdr:row>
                    <xdr:rowOff>0</xdr:rowOff>
                  </to>
                </anchor>
              </controlPr>
            </control>
          </mc:Choice>
        </mc:AlternateContent>
        <mc:AlternateContent xmlns:mc="http://schemas.openxmlformats.org/markup-compatibility/2006">
          <mc:Choice Requires="x14">
            <control shapeId="3457" r:id="rId128" name="Drop Down 385">
              <controlPr locked="0" defaultSize="0" autoFill="0" autoLine="0" autoPict="0">
                <anchor moveWithCells="1">
                  <from>
                    <xdr:col>5</xdr:col>
                    <xdr:colOff>15240</xdr:colOff>
                    <xdr:row>27</xdr:row>
                    <xdr:rowOff>15240</xdr:rowOff>
                  </from>
                  <to>
                    <xdr:col>6</xdr:col>
                    <xdr:colOff>0</xdr:colOff>
                    <xdr:row>28</xdr:row>
                    <xdr:rowOff>0</xdr:rowOff>
                  </to>
                </anchor>
              </controlPr>
            </control>
          </mc:Choice>
        </mc:AlternateContent>
        <mc:AlternateContent xmlns:mc="http://schemas.openxmlformats.org/markup-compatibility/2006">
          <mc:Choice Requires="x14">
            <control shapeId="3458" r:id="rId129" name="Drop Down 386">
              <controlPr locked="0" defaultSize="0" autoFill="0" autoLine="0" autoPict="0">
                <anchor moveWithCells="1">
                  <from>
                    <xdr:col>5</xdr:col>
                    <xdr:colOff>15240</xdr:colOff>
                    <xdr:row>28</xdr:row>
                    <xdr:rowOff>15240</xdr:rowOff>
                  </from>
                  <to>
                    <xdr:col>6</xdr:col>
                    <xdr:colOff>0</xdr:colOff>
                    <xdr:row>29</xdr:row>
                    <xdr:rowOff>0</xdr:rowOff>
                  </to>
                </anchor>
              </controlPr>
            </control>
          </mc:Choice>
        </mc:AlternateContent>
        <mc:AlternateContent xmlns:mc="http://schemas.openxmlformats.org/markup-compatibility/2006">
          <mc:Choice Requires="x14">
            <control shapeId="3459" r:id="rId130" name="Drop Down 387">
              <controlPr locked="0" defaultSize="0" autoFill="0" autoLine="0" autoPict="0">
                <anchor moveWithCells="1">
                  <from>
                    <xdr:col>5</xdr:col>
                    <xdr:colOff>15240</xdr:colOff>
                    <xdr:row>4</xdr:row>
                    <xdr:rowOff>15240</xdr:rowOff>
                  </from>
                  <to>
                    <xdr:col>6</xdr:col>
                    <xdr:colOff>0</xdr:colOff>
                    <xdr:row>5</xdr:row>
                    <xdr:rowOff>0</xdr:rowOff>
                  </to>
                </anchor>
              </controlPr>
            </control>
          </mc:Choice>
        </mc:AlternateContent>
        <mc:AlternateContent xmlns:mc="http://schemas.openxmlformats.org/markup-compatibility/2006">
          <mc:Choice Requires="x14">
            <control shapeId="3460" r:id="rId131" name="Drop Down 388">
              <controlPr locked="0" defaultSize="0" autoFill="0" autoLine="0" autoPict="0">
                <anchor moveWithCells="1">
                  <from>
                    <xdr:col>5</xdr:col>
                    <xdr:colOff>15240</xdr:colOff>
                    <xdr:row>5</xdr:row>
                    <xdr:rowOff>15240</xdr:rowOff>
                  </from>
                  <to>
                    <xdr:col>6</xdr:col>
                    <xdr:colOff>0</xdr:colOff>
                    <xdr:row>6</xdr:row>
                    <xdr:rowOff>0</xdr:rowOff>
                  </to>
                </anchor>
              </controlPr>
            </control>
          </mc:Choice>
        </mc:AlternateContent>
        <mc:AlternateContent xmlns:mc="http://schemas.openxmlformats.org/markup-compatibility/2006">
          <mc:Choice Requires="x14">
            <control shapeId="3461" r:id="rId132" name="Drop Down 389">
              <controlPr locked="0" defaultSize="0" autoFill="0" autoLine="0" autoPict="0">
                <anchor moveWithCells="1">
                  <from>
                    <xdr:col>5</xdr:col>
                    <xdr:colOff>15240</xdr:colOff>
                    <xdr:row>6</xdr:row>
                    <xdr:rowOff>15240</xdr:rowOff>
                  </from>
                  <to>
                    <xdr:col>6</xdr:col>
                    <xdr:colOff>0</xdr:colOff>
                    <xdr:row>7</xdr:row>
                    <xdr:rowOff>0</xdr:rowOff>
                  </to>
                </anchor>
              </controlPr>
            </control>
          </mc:Choice>
        </mc:AlternateContent>
        <mc:AlternateContent xmlns:mc="http://schemas.openxmlformats.org/markup-compatibility/2006">
          <mc:Choice Requires="x14">
            <control shapeId="3462" r:id="rId133" name="Drop Down 390">
              <controlPr locked="0" defaultSize="0" autoFill="0" autoLine="0" autoPict="0">
                <anchor moveWithCells="1">
                  <from>
                    <xdr:col>5</xdr:col>
                    <xdr:colOff>15240</xdr:colOff>
                    <xdr:row>7</xdr:row>
                    <xdr:rowOff>15240</xdr:rowOff>
                  </from>
                  <to>
                    <xdr:col>6</xdr:col>
                    <xdr:colOff>0</xdr:colOff>
                    <xdr:row>8</xdr:row>
                    <xdr:rowOff>0</xdr:rowOff>
                  </to>
                </anchor>
              </controlPr>
            </control>
          </mc:Choice>
        </mc:AlternateContent>
        <mc:AlternateContent xmlns:mc="http://schemas.openxmlformats.org/markup-compatibility/2006">
          <mc:Choice Requires="x14">
            <control shapeId="3463" r:id="rId134" name="Button 391">
              <controlPr defaultSize="0" print="0" autoFill="0" autoLine="0" autoPict="0" macro="[0]!Azzera_altri_fabb">
                <anchor moveWithCells="1" sizeWithCells="1">
                  <from>
                    <xdr:col>9</xdr:col>
                    <xdr:colOff>617220</xdr:colOff>
                    <xdr:row>0</xdr:row>
                    <xdr:rowOff>60960</xdr:rowOff>
                  </from>
                  <to>
                    <xdr:col>11</xdr:col>
                    <xdr:colOff>342900</xdr:colOff>
                    <xdr:row>0</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5336B-7A55-49C4-90EA-69E56C17B8F8}">
  <sheetPr codeName="Foglio6"/>
  <dimension ref="A1:S20"/>
  <sheetViews>
    <sheetView showGridLines="0" showRowColHeaders="0" showZeros="0" workbookViewId="0">
      <pane ySplit="4" topLeftCell="A5" activePane="bottomLeft" state="frozen"/>
      <selection pane="bottomLeft" activeCell="B5" sqref="B5"/>
    </sheetView>
  </sheetViews>
  <sheetFormatPr defaultColWidth="9.21875" defaultRowHeight="13.2" x14ac:dyDescent="0.25"/>
  <cols>
    <col min="1" max="1" width="6.77734375" style="45" customWidth="1"/>
    <col min="2" max="2" width="25" style="45" customWidth="1"/>
    <col min="3" max="4" width="7.21875" style="45" customWidth="1"/>
    <col min="5" max="5" width="7" style="45" customWidth="1"/>
    <col min="6" max="6" width="14.77734375" style="45" customWidth="1"/>
    <col min="7" max="8" width="8.77734375" style="45" customWidth="1"/>
    <col min="9" max="9" width="14.77734375" style="45" customWidth="1"/>
    <col min="10" max="10" width="12.44140625" style="45" customWidth="1"/>
    <col min="11" max="14" width="12.44140625" style="45" hidden="1" customWidth="1"/>
    <col min="15" max="15" width="15" style="45" hidden="1" customWidth="1"/>
    <col min="16" max="17" width="12.77734375" style="45" customWidth="1"/>
    <col min="18" max="19" width="15" style="45" hidden="1" customWidth="1"/>
    <col min="20" max="16384" width="9.21875" style="45"/>
  </cols>
  <sheetData>
    <row r="1" spans="1:19" ht="39" customHeight="1" x14ac:dyDescent="0.25"/>
    <row r="2" spans="1:19" ht="30" customHeight="1" x14ac:dyDescent="0.25">
      <c r="A2" s="46" t="str">
        <f>CONCATENATE("AREE FABBRICABILI", " - Contribuente: ", Home!D8)</f>
        <v xml:space="preserve">AREE FABBRICABILI - Contribuente: </v>
      </c>
    </row>
    <row r="3" spans="1:19" ht="18" customHeight="1" x14ac:dyDescent="0.25">
      <c r="A3" s="51" t="s">
        <v>3</v>
      </c>
      <c r="B3" s="51" t="s">
        <v>78</v>
      </c>
      <c r="C3" s="104" t="s">
        <v>89</v>
      </c>
      <c r="D3" s="132" t="s">
        <v>88</v>
      </c>
      <c r="E3" s="133" t="s">
        <v>87</v>
      </c>
      <c r="F3" s="106" t="s">
        <v>17</v>
      </c>
      <c r="G3" s="51" t="s">
        <v>85</v>
      </c>
      <c r="H3" s="51" t="s">
        <v>85</v>
      </c>
      <c r="I3" s="51" t="s">
        <v>8</v>
      </c>
      <c r="J3" s="51" t="s">
        <v>9</v>
      </c>
      <c r="K3" s="52" t="s">
        <v>45</v>
      </c>
      <c r="L3" s="52" t="s">
        <v>45</v>
      </c>
      <c r="M3" s="52" t="s">
        <v>81</v>
      </c>
      <c r="N3" s="52" t="s">
        <v>47</v>
      </c>
      <c r="O3" s="52" t="s">
        <v>120</v>
      </c>
      <c r="P3" s="51" t="s">
        <v>9</v>
      </c>
      <c r="Q3" s="51" t="s">
        <v>10</v>
      </c>
      <c r="R3" s="52" t="s">
        <v>71</v>
      </c>
      <c r="S3" s="52" t="s">
        <v>71</v>
      </c>
    </row>
    <row r="4" spans="1:19" ht="18" customHeight="1" x14ac:dyDescent="0.25">
      <c r="A4" s="53"/>
      <c r="B4" s="53" t="s">
        <v>77</v>
      </c>
      <c r="C4" s="53" t="s">
        <v>87</v>
      </c>
      <c r="D4" s="53" t="s">
        <v>148</v>
      </c>
      <c r="E4" s="53" t="s">
        <v>149</v>
      </c>
      <c r="F4" s="53" t="s">
        <v>18</v>
      </c>
      <c r="G4" s="53" t="s">
        <v>126</v>
      </c>
      <c r="H4" s="53" t="s">
        <v>127</v>
      </c>
      <c r="I4" s="53" t="s">
        <v>9</v>
      </c>
      <c r="J4" s="53" t="s">
        <v>98</v>
      </c>
      <c r="K4" s="54" t="s">
        <v>80</v>
      </c>
      <c r="L4" s="54" t="s">
        <v>75</v>
      </c>
      <c r="M4" s="54" t="s">
        <v>82</v>
      </c>
      <c r="N4" s="54" t="s">
        <v>80</v>
      </c>
      <c r="O4" s="54">
        <v>2013</v>
      </c>
      <c r="P4" s="53" t="s">
        <v>125</v>
      </c>
      <c r="Q4" s="53" t="s">
        <v>9</v>
      </c>
      <c r="R4" s="54" t="s">
        <v>72</v>
      </c>
      <c r="S4" s="54" t="s">
        <v>73</v>
      </c>
    </row>
    <row r="5" spans="1:19" ht="18" customHeight="1" x14ac:dyDescent="0.25">
      <c r="A5" s="55">
        <v>1</v>
      </c>
      <c r="B5" s="50"/>
      <c r="C5" s="56"/>
      <c r="D5" s="57"/>
      <c r="E5" s="57"/>
      <c r="F5" s="58"/>
      <c r="G5" s="59"/>
      <c r="H5" s="59"/>
      <c r="I5" s="61">
        <f>ROUND(IF(F5=0,0,(F5*C5/100)),2)</f>
        <v>0</v>
      </c>
      <c r="J5" s="61">
        <f>ROUND((I5*(D5/12)*(G5/100)),2)</f>
        <v>0</v>
      </c>
      <c r="K5" s="60">
        <f t="shared" ref="K5:K19" si="0">IF(J5&gt;0,J5/2,0)</f>
        <v>0</v>
      </c>
      <c r="L5" s="60">
        <f t="shared" ref="L5:L19" si="1">J5-K5</f>
        <v>0</v>
      </c>
      <c r="M5" s="60">
        <f>ROUND(IF(I5&gt;0,(I5*(H5/100)*(E5/12)),0),2)</f>
        <v>0</v>
      </c>
      <c r="N5" s="60">
        <f>IF(M5&gt;K5,IF(M5-K5-L5-O5&gt;0,M5-K5-L5-O5,0),0)</f>
        <v>0</v>
      </c>
      <c r="O5" s="60">
        <f>ROUND(IF(I5&gt;0,(I5*(H5/100)*((D5+E5)/12)),0),2)</f>
        <v>0</v>
      </c>
      <c r="P5" s="61">
        <f>IF(O5&gt;J5,O5-J5,0)</f>
        <v>0</v>
      </c>
      <c r="Q5" s="61">
        <f t="shared" ref="Q5:Q19" si="2">J5+P5</f>
        <v>0</v>
      </c>
      <c r="R5" s="62">
        <f t="shared" ref="R5:R19" si="3">IF(J5&gt;0,1,0)</f>
        <v>0</v>
      </c>
      <c r="S5" s="62">
        <f>IF(P5&gt;0,1,0)</f>
        <v>0</v>
      </c>
    </row>
    <row r="6" spans="1:19" ht="18" customHeight="1" x14ac:dyDescent="0.25">
      <c r="A6" s="55">
        <v>2</v>
      </c>
      <c r="B6" s="50"/>
      <c r="C6" s="56"/>
      <c r="D6" s="57"/>
      <c r="E6" s="57"/>
      <c r="F6" s="58"/>
      <c r="G6" s="59"/>
      <c r="H6" s="59"/>
      <c r="I6" s="61">
        <f>ROUND(IF(F6=0,0,(F6*C6/100)),2)</f>
        <v>0</v>
      </c>
      <c r="J6" s="61">
        <f t="shared" ref="J6:J19" si="4">ROUND((I6*(D6/12)*(G6/100)),2)</f>
        <v>0</v>
      </c>
      <c r="K6" s="60">
        <f t="shared" si="0"/>
        <v>0</v>
      </c>
      <c r="L6" s="60">
        <f t="shared" si="1"/>
        <v>0</v>
      </c>
      <c r="M6" s="60">
        <f t="shared" ref="M6:M19" si="5">ROUND(IF(I6&gt;0,(I6*(H6/100)*(E6/12)),0),2)</f>
        <v>0</v>
      </c>
      <c r="N6" s="60">
        <f t="shared" ref="N6:N19" si="6">IF(M6&gt;K6,IF(M6-K6-L6-O6&gt;0,M6-K6-L6-O6,0),0)</f>
        <v>0</v>
      </c>
      <c r="O6" s="60">
        <f t="shared" ref="O6:O19" si="7">ROUND(IF(I6&gt;0,(I6*(H6/100)*((D6+E6)/12)),0),2)</f>
        <v>0</v>
      </c>
      <c r="P6" s="61">
        <f t="shared" ref="P6:P19" si="8">IF(O6&gt;J6,O6-J6,0)</f>
        <v>0</v>
      </c>
      <c r="Q6" s="61">
        <f t="shared" si="2"/>
        <v>0</v>
      </c>
      <c r="R6" s="62">
        <f t="shared" si="3"/>
        <v>0</v>
      </c>
      <c r="S6" s="62">
        <f t="shared" ref="S6:S19" si="9">IF(P6&gt;0,1,0)</f>
        <v>0</v>
      </c>
    </row>
    <row r="7" spans="1:19" ht="18" customHeight="1" x14ac:dyDescent="0.25">
      <c r="A7" s="55">
        <v>3</v>
      </c>
      <c r="B7" s="50"/>
      <c r="C7" s="56"/>
      <c r="D7" s="57"/>
      <c r="E7" s="57"/>
      <c r="F7" s="58"/>
      <c r="G7" s="59"/>
      <c r="H7" s="59"/>
      <c r="I7" s="61">
        <f>ROUND(IF(F7=0,0,(F7*C7/100)),2)</f>
        <v>0</v>
      </c>
      <c r="J7" s="61">
        <f t="shared" si="4"/>
        <v>0</v>
      </c>
      <c r="K7" s="60">
        <f t="shared" si="0"/>
        <v>0</v>
      </c>
      <c r="L7" s="60">
        <f t="shared" si="1"/>
        <v>0</v>
      </c>
      <c r="M7" s="60">
        <f t="shared" si="5"/>
        <v>0</v>
      </c>
      <c r="N7" s="60">
        <f t="shared" si="6"/>
        <v>0</v>
      </c>
      <c r="O7" s="60">
        <f t="shared" si="7"/>
        <v>0</v>
      </c>
      <c r="P7" s="61">
        <f t="shared" si="8"/>
        <v>0</v>
      </c>
      <c r="Q7" s="61">
        <f t="shared" si="2"/>
        <v>0</v>
      </c>
      <c r="R7" s="62">
        <f t="shared" si="3"/>
        <v>0</v>
      </c>
      <c r="S7" s="62">
        <f t="shared" si="9"/>
        <v>0</v>
      </c>
    </row>
    <row r="8" spans="1:19" ht="18" customHeight="1" x14ac:dyDescent="0.25">
      <c r="A8" s="55">
        <v>4</v>
      </c>
      <c r="B8" s="50"/>
      <c r="C8" s="56"/>
      <c r="D8" s="57"/>
      <c r="E8" s="57"/>
      <c r="F8" s="58"/>
      <c r="G8" s="59"/>
      <c r="H8" s="59"/>
      <c r="I8" s="61">
        <f>ROUND(IF(F8=0,0,(F8*C8/100)),2)</f>
        <v>0</v>
      </c>
      <c r="J8" s="61">
        <f t="shared" si="4"/>
        <v>0</v>
      </c>
      <c r="K8" s="60">
        <f t="shared" si="0"/>
        <v>0</v>
      </c>
      <c r="L8" s="60">
        <f t="shared" si="1"/>
        <v>0</v>
      </c>
      <c r="M8" s="60">
        <f t="shared" si="5"/>
        <v>0</v>
      </c>
      <c r="N8" s="60">
        <f t="shared" si="6"/>
        <v>0</v>
      </c>
      <c r="O8" s="60">
        <f t="shared" si="7"/>
        <v>0</v>
      </c>
      <c r="P8" s="61">
        <f t="shared" si="8"/>
        <v>0</v>
      </c>
      <c r="Q8" s="61">
        <f t="shared" si="2"/>
        <v>0</v>
      </c>
      <c r="R8" s="62">
        <f t="shared" si="3"/>
        <v>0</v>
      </c>
      <c r="S8" s="62">
        <f t="shared" si="9"/>
        <v>0</v>
      </c>
    </row>
    <row r="9" spans="1:19" ht="18" customHeight="1" x14ac:dyDescent="0.25">
      <c r="A9" s="55">
        <v>5</v>
      </c>
      <c r="B9" s="50"/>
      <c r="C9" s="56"/>
      <c r="D9" s="57"/>
      <c r="E9" s="57"/>
      <c r="F9" s="58"/>
      <c r="G9" s="59"/>
      <c r="H9" s="59"/>
      <c r="I9" s="61">
        <f>ROUND(IF(F9=0,0,(F9*C9/100)),2)</f>
        <v>0</v>
      </c>
      <c r="J9" s="61">
        <f t="shared" si="4"/>
        <v>0</v>
      </c>
      <c r="K9" s="60">
        <f t="shared" si="0"/>
        <v>0</v>
      </c>
      <c r="L9" s="60">
        <f t="shared" si="1"/>
        <v>0</v>
      </c>
      <c r="M9" s="60">
        <f t="shared" si="5"/>
        <v>0</v>
      </c>
      <c r="N9" s="60">
        <f t="shared" si="6"/>
        <v>0</v>
      </c>
      <c r="O9" s="60">
        <f t="shared" si="7"/>
        <v>0</v>
      </c>
      <c r="P9" s="61">
        <f t="shared" si="8"/>
        <v>0</v>
      </c>
      <c r="Q9" s="61">
        <f t="shared" si="2"/>
        <v>0</v>
      </c>
      <c r="R9" s="62">
        <f t="shared" si="3"/>
        <v>0</v>
      </c>
      <c r="S9" s="62">
        <f t="shared" si="9"/>
        <v>0</v>
      </c>
    </row>
    <row r="10" spans="1:19" ht="18" customHeight="1" x14ac:dyDescent="0.25">
      <c r="A10" s="55">
        <v>6</v>
      </c>
      <c r="B10" s="50"/>
      <c r="C10" s="56"/>
      <c r="D10" s="57"/>
      <c r="E10" s="57"/>
      <c r="F10" s="58"/>
      <c r="G10" s="59"/>
      <c r="H10" s="59"/>
      <c r="I10" s="61">
        <f t="shared" ref="I10:I19" si="10">ROUND(IF(F10=0,0,(F10*C10/100)),2)</f>
        <v>0</v>
      </c>
      <c r="J10" s="61">
        <f t="shared" si="4"/>
        <v>0</v>
      </c>
      <c r="K10" s="60">
        <f t="shared" si="0"/>
        <v>0</v>
      </c>
      <c r="L10" s="60">
        <f t="shared" si="1"/>
        <v>0</v>
      </c>
      <c r="M10" s="60">
        <f t="shared" si="5"/>
        <v>0</v>
      </c>
      <c r="N10" s="60">
        <f t="shared" si="6"/>
        <v>0</v>
      </c>
      <c r="O10" s="60">
        <f t="shared" si="7"/>
        <v>0</v>
      </c>
      <c r="P10" s="61">
        <f t="shared" si="8"/>
        <v>0</v>
      </c>
      <c r="Q10" s="61">
        <f t="shared" si="2"/>
        <v>0</v>
      </c>
      <c r="R10" s="62">
        <f t="shared" si="3"/>
        <v>0</v>
      </c>
      <c r="S10" s="62">
        <f t="shared" si="9"/>
        <v>0</v>
      </c>
    </row>
    <row r="11" spans="1:19" ht="18" customHeight="1" x14ac:dyDescent="0.25">
      <c r="A11" s="55">
        <v>7</v>
      </c>
      <c r="B11" s="50"/>
      <c r="C11" s="56"/>
      <c r="D11" s="57"/>
      <c r="E11" s="57"/>
      <c r="F11" s="58"/>
      <c r="G11" s="59"/>
      <c r="H11" s="59"/>
      <c r="I11" s="61">
        <f t="shared" si="10"/>
        <v>0</v>
      </c>
      <c r="J11" s="61">
        <f t="shared" si="4"/>
        <v>0</v>
      </c>
      <c r="K11" s="60">
        <f t="shared" si="0"/>
        <v>0</v>
      </c>
      <c r="L11" s="60">
        <f t="shared" si="1"/>
        <v>0</v>
      </c>
      <c r="M11" s="60">
        <f t="shared" si="5"/>
        <v>0</v>
      </c>
      <c r="N11" s="60">
        <f t="shared" si="6"/>
        <v>0</v>
      </c>
      <c r="O11" s="60">
        <f t="shared" si="7"/>
        <v>0</v>
      </c>
      <c r="P11" s="61">
        <f t="shared" si="8"/>
        <v>0</v>
      </c>
      <c r="Q11" s="61">
        <f t="shared" si="2"/>
        <v>0</v>
      </c>
      <c r="R11" s="62">
        <f t="shared" si="3"/>
        <v>0</v>
      </c>
      <c r="S11" s="62">
        <f t="shared" si="9"/>
        <v>0</v>
      </c>
    </row>
    <row r="12" spans="1:19" ht="18" customHeight="1" x14ac:dyDescent="0.25">
      <c r="A12" s="55">
        <v>8</v>
      </c>
      <c r="B12" s="50"/>
      <c r="C12" s="56"/>
      <c r="D12" s="57"/>
      <c r="E12" s="57"/>
      <c r="F12" s="58"/>
      <c r="G12" s="59"/>
      <c r="H12" s="59"/>
      <c r="I12" s="61">
        <f t="shared" si="10"/>
        <v>0</v>
      </c>
      <c r="J12" s="61">
        <f t="shared" si="4"/>
        <v>0</v>
      </c>
      <c r="K12" s="60">
        <f t="shared" si="0"/>
        <v>0</v>
      </c>
      <c r="L12" s="60">
        <f t="shared" si="1"/>
        <v>0</v>
      </c>
      <c r="M12" s="60">
        <f t="shared" si="5"/>
        <v>0</v>
      </c>
      <c r="N12" s="60">
        <f t="shared" si="6"/>
        <v>0</v>
      </c>
      <c r="O12" s="60">
        <f t="shared" si="7"/>
        <v>0</v>
      </c>
      <c r="P12" s="61">
        <f t="shared" si="8"/>
        <v>0</v>
      </c>
      <c r="Q12" s="61">
        <f t="shared" si="2"/>
        <v>0</v>
      </c>
      <c r="R12" s="62">
        <f t="shared" si="3"/>
        <v>0</v>
      </c>
      <c r="S12" s="62">
        <f t="shared" si="9"/>
        <v>0</v>
      </c>
    </row>
    <row r="13" spans="1:19" ht="18" customHeight="1" x14ac:dyDescent="0.25">
      <c r="A13" s="55">
        <v>9</v>
      </c>
      <c r="B13" s="50"/>
      <c r="C13" s="56"/>
      <c r="D13" s="57"/>
      <c r="E13" s="57"/>
      <c r="F13" s="58"/>
      <c r="G13" s="59"/>
      <c r="H13" s="59"/>
      <c r="I13" s="61">
        <f t="shared" si="10"/>
        <v>0</v>
      </c>
      <c r="J13" s="61">
        <f t="shared" si="4"/>
        <v>0</v>
      </c>
      <c r="K13" s="60">
        <f t="shared" si="0"/>
        <v>0</v>
      </c>
      <c r="L13" s="60">
        <f t="shared" si="1"/>
        <v>0</v>
      </c>
      <c r="M13" s="60">
        <f t="shared" si="5"/>
        <v>0</v>
      </c>
      <c r="N13" s="60">
        <f t="shared" si="6"/>
        <v>0</v>
      </c>
      <c r="O13" s="60">
        <f t="shared" si="7"/>
        <v>0</v>
      </c>
      <c r="P13" s="61">
        <f t="shared" si="8"/>
        <v>0</v>
      </c>
      <c r="Q13" s="61">
        <f t="shared" si="2"/>
        <v>0</v>
      </c>
      <c r="R13" s="62">
        <f t="shared" si="3"/>
        <v>0</v>
      </c>
      <c r="S13" s="62">
        <f t="shared" si="9"/>
        <v>0</v>
      </c>
    </row>
    <row r="14" spans="1:19" ht="18" customHeight="1" x14ac:dyDescent="0.25">
      <c r="A14" s="55">
        <v>10</v>
      </c>
      <c r="B14" s="50"/>
      <c r="C14" s="56"/>
      <c r="D14" s="57"/>
      <c r="E14" s="57"/>
      <c r="F14" s="58"/>
      <c r="G14" s="59"/>
      <c r="H14" s="59"/>
      <c r="I14" s="61">
        <f t="shared" si="10"/>
        <v>0</v>
      </c>
      <c r="J14" s="61">
        <f t="shared" si="4"/>
        <v>0</v>
      </c>
      <c r="K14" s="60">
        <f t="shared" si="0"/>
        <v>0</v>
      </c>
      <c r="L14" s="60">
        <f t="shared" si="1"/>
        <v>0</v>
      </c>
      <c r="M14" s="60">
        <f t="shared" si="5"/>
        <v>0</v>
      </c>
      <c r="N14" s="60">
        <f t="shared" si="6"/>
        <v>0</v>
      </c>
      <c r="O14" s="60">
        <f t="shared" si="7"/>
        <v>0</v>
      </c>
      <c r="P14" s="61">
        <f t="shared" si="8"/>
        <v>0</v>
      </c>
      <c r="Q14" s="61">
        <f t="shared" si="2"/>
        <v>0</v>
      </c>
      <c r="R14" s="62">
        <f t="shared" si="3"/>
        <v>0</v>
      </c>
      <c r="S14" s="62">
        <f t="shared" si="9"/>
        <v>0</v>
      </c>
    </row>
    <row r="15" spans="1:19" ht="18" customHeight="1" x14ac:dyDescent="0.25">
      <c r="A15" s="55">
        <v>11</v>
      </c>
      <c r="B15" s="50"/>
      <c r="C15" s="56"/>
      <c r="D15" s="57"/>
      <c r="E15" s="57"/>
      <c r="F15" s="58"/>
      <c r="G15" s="59"/>
      <c r="H15" s="59"/>
      <c r="I15" s="61">
        <f t="shared" si="10"/>
        <v>0</v>
      </c>
      <c r="J15" s="61">
        <f t="shared" si="4"/>
        <v>0</v>
      </c>
      <c r="K15" s="60">
        <f t="shared" si="0"/>
        <v>0</v>
      </c>
      <c r="L15" s="60">
        <f t="shared" si="1"/>
        <v>0</v>
      </c>
      <c r="M15" s="60">
        <f t="shared" si="5"/>
        <v>0</v>
      </c>
      <c r="N15" s="60">
        <f t="shared" si="6"/>
        <v>0</v>
      </c>
      <c r="O15" s="60">
        <f t="shared" si="7"/>
        <v>0</v>
      </c>
      <c r="P15" s="61">
        <f t="shared" si="8"/>
        <v>0</v>
      </c>
      <c r="Q15" s="61">
        <f t="shared" si="2"/>
        <v>0</v>
      </c>
      <c r="R15" s="62">
        <f t="shared" si="3"/>
        <v>0</v>
      </c>
      <c r="S15" s="62">
        <f t="shared" si="9"/>
        <v>0</v>
      </c>
    </row>
    <row r="16" spans="1:19" ht="18" customHeight="1" x14ac:dyDescent="0.25">
      <c r="A16" s="55">
        <v>12</v>
      </c>
      <c r="B16" s="50"/>
      <c r="C16" s="56"/>
      <c r="D16" s="57"/>
      <c r="E16" s="57"/>
      <c r="F16" s="58"/>
      <c r="G16" s="59"/>
      <c r="H16" s="59"/>
      <c r="I16" s="61">
        <f t="shared" si="10"/>
        <v>0</v>
      </c>
      <c r="J16" s="61">
        <f t="shared" si="4"/>
        <v>0</v>
      </c>
      <c r="K16" s="60">
        <f t="shared" si="0"/>
        <v>0</v>
      </c>
      <c r="L16" s="60">
        <f t="shared" si="1"/>
        <v>0</v>
      </c>
      <c r="M16" s="60">
        <f t="shared" si="5"/>
        <v>0</v>
      </c>
      <c r="N16" s="60">
        <f t="shared" si="6"/>
        <v>0</v>
      </c>
      <c r="O16" s="60">
        <f t="shared" si="7"/>
        <v>0</v>
      </c>
      <c r="P16" s="61">
        <f t="shared" si="8"/>
        <v>0</v>
      </c>
      <c r="Q16" s="61">
        <f t="shared" si="2"/>
        <v>0</v>
      </c>
      <c r="R16" s="62">
        <f t="shared" si="3"/>
        <v>0</v>
      </c>
      <c r="S16" s="62">
        <f t="shared" si="9"/>
        <v>0</v>
      </c>
    </row>
    <row r="17" spans="1:19" ht="18" customHeight="1" x14ac:dyDescent="0.25">
      <c r="A17" s="55">
        <v>13</v>
      </c>
      <c r="B17" s="50"/>
      <c r="C17" s="56"/>
      <c r="D17" s="57"/>
      <c r="E17" s="57"/>
      <c r="F17" s="58"/>
      <c r="G17" s="59"/>
      <c r="H17" s="59"/>
      <c r="I17" s="61">
        <f t="shared" si="10"/>
        <v>0</v>
      </c>
      <c r="J17" s="61">
        <f t="shared" si="4"/>
        <v>0</v>
      </c>
      <c r="K17" s="60">
        <f t="shared" si="0"/>
        <v>0</v>
      </c>
      <c r="L17" s="60">
        <f t="shared" si="1"/>
        <v>0</v>
      </c>
      <c r="M17" s="60">
        <f t="shared" si="5"/>
        <v>0</v>
      </c>
      <c r="N17" s="60">
        <f t="shared" si="6"/>
        <v>0</v>
      </c>
      <c r="O17" s="60">
        <f t="shared" si="7"/>
        <v>0</v>
      </c>
      <c r="P17" s="61">
        <f t="shared" si="8"/>
        <v>0</v>
      </c>
      <c r="Q17" s="61">
        <f t="shared" si="2"/>
        <v>0</v>
      </c>
      <c r="R17" s="62">
        <f t="shared" si="3"/>
        <v>0</v>
      </c>
      <c r="S17" s="62">
        <f t="shared" si="9"/>
        <v>0</v>
      </c>
    </row>
    <row r="18" spans="1:19" ht="18" customHeight="1" x14ac:dyDescent="0.25">
      <c r="A18" s="55">
        <v>14</v>
      </c>
      <c r="B18" s="50"/>
      <c r="C18" s="56"/>
      <c r="D18" s="57"/>
      <c r="E18" s="57"/>
      <c r="F18" s="58"/>
      <c r="G18" s="59"/>
      <c r="H18" s="59"/>
      <c r="I18" s="61">
        <f t="shared" si="10"/>
        <v>0</v>
      </c>
      <c r="J18" s="61">
        <f t="shared" si="4"/>
        <v>0</v>
      </c>
      <c r="K18" s="60">
        <f t="shared" si="0"/>
        <v>0</v>
      </c>
      <c r="L18" s="60">
        <f t="shared" si="1"/>
        <v>0</v>
      </c>
      <c r="M18" s="60">
        <f t="shared" si="5"/>
        <v>0</v>
      </c>
      <c r="N18" s="60">
        <f t="shared" si="6"/>
        <v>0</v>
      </c>
      <c r="O18" s="60">
        <f t="shared" si="7"/>
        <v>0</v>
      </c>
      <c r="P18" s="61">
        <f t="shared" si="8"/>
        <v>0</v>
      </c>
      <c r="Q18" s="61">
        <f t="shared" si="2"/>
        <v>0</v>
      </c>
      <c r="R18" s="62">
        <f t="shared" si="3"/>
        <v>0</v>
      </c>
      <c r="S18" s="62">
        <f t="shared" si="9"/>
        <v>0</v>
      </c>
    </row>
    <row r="19" spans="1:19" ht="18" customHeight="1" x14ac:dyDescent="0.25">
      <c r="A19" s="55">
        <v>15</v>
      </c>
      <c r="B19" s="50"/>
      <c r="C19" s="56"/>
      <c r="D19" s="57"/>
      <c r="E19" s="57"/>
      <c r="F19" s="58"/>
      <c r="G19" s="59"/>
      <c r="H19" s="59"/>
      <c r="I19" s="61">
        <f t="shared" si="10"/>
        <v>0</v>
      </c>
      <c r="J19" s="61">
        <f t="shared" si="4"/>
        <v>0</v>
      </c>
      <c r="K19" s="60">
        <f t="shared" si="0"/>
        <v>0</v>
      </c>
      <c r="L19" s="60">
        <f t="shared" si="1"/>
        <v>0</v>
      </c>
      <c r="M19" s="60">
        <f t="shared" si="5"/>
        <v>0</v>
      </c>
      <c r="N19" s="60">
        <f t="shared" si="6"/>
        <v>0</v>
      </c>
      <c r="O19" s="60">
        <f t="shared" si="7"/>
        <v>0</v>
      </c>
      <c r="P19" s="61">
        <f t="shared" si="8"/>
        <v>0</v>
      </c>
      <c r="Q19" s="61">
        <f t="shared" si="2"/>
        <v>0</v>
      </c>
      <c r="R19" s="62">
        <f t="shared" si="3"/>
        <v>0</v>
      </c>
      <c r="S19" s="62">
        <f t="shared" si="9"/>
        <v>0</v>
      </c>
    </row>
    <row r="20" spans="1:19" ht="18" customHeight="1" x14ac:dyDescent="0.25">
      <c r="A20" s="64"/>
      <c r="B20" s="65" t="s">
        <v>10</v>
      </c>
      <c r="C20" s="65"/>
      <c r="D20" s="65"/>
      <c r="E20" s="65"/>
      <c r="F20" s="65"/>
      <c r="G20" s="65"/>
      <c r="H20" s="65"/>
      <c r="I20" s="66">
        <f t="shared" ref="I20:S20" si="11">SUM(I5:I19)</f>
        <v>0</v>
      </c>
      <c r="J20" s="66">
        <f t="shared" si="11"/>
        <v>0</v>
      </c>
      <c r="K20" s="67">
        <f t="shared" si="11"/>
        <v>0</v>
      </c>
      <c r="L20" s="67">
        <f t="shared" si="11"/>
        <v>0</v>
      </c>
      <c r="M20" s="67">
        <f t="shared" si="11"/>
        <v>0</v>
      </c>
      <c r="N20" s="67">
        <f t="shared" si="11"/>
        <v>0</v>
      </c>
      <c r="O20" s="66">
        <f t="shared" si="11"/>
        <v>0</v>
      </c>
      <c r="P20" s="66">
        <f t="shared" si="11"/>
        <v>0</v>
      </c>
      <c r="Q20" s="66">
        <f>SUM(Q5:Q19)</f>
        <v>0</v>
      </c>
      <c r="R20" s="62">
        <f t="shared" si="11"/>
        <v>0</v>
      </c>
      <c r="S20" s="62">
        <f t="shared" si="11"/>
        <v>0</v>
      </c>
    </row>
  </sheetData>
  <sheetProtection password="D08A" sheet="1"/>
  <dataValidations count="5">
    <dataValidation type="decimal" allowBlank="1" showInputMessage="1" showErrorMessage="1" errorTitle="Attenzione" error="Inserire un valore tra 0,00 e 100,00" prompt="Inserire un valore tra 0,00 e 100,00" sqref="C5:C19" xr:uid="{435B5152-FEB3-4F3E-A0F1-1BCC7FBF865F}">
      <formula1>0</formula1>
      <formula2>100</formula2>
    </dataValidation>
    <dataValidation allowBlank="1" showInputMessage="1" showErrorMessage="1" prompt="Inserire il valore venale dell'area" sqref="F5:F19" xr:uid="{07280F20-A652-4D46-9745-7324164381AB}"/>
    <dataValidation allowBlank="1" showInputMessage="1" showErrorMessage="1" prompt="Inserire l'aliquota deliberata nell'anno (se pubblicata nel sito del MEF entro il 28/10). In caso contrario, inserire l'aliquota dell'anno precedente." sqref="H5:H19" xr:uid="{EBB74725-654F-42BD-BD60-35F17A42749C}"/>
    <dataValidation allowBlank="1" showInputMessage="1" showErrorMessage="1" prompt="Inserire l'aliquota deliberata nell'anno precedente (dato utile ai fini del calcolo della prima rata)" sqref="G5:G19" xr:uid="{3B017CB3-DC54-41B5-B032-2E1F9835C25D}"/>
    <dataValidation type="whole" allowBlank="1" showInputMessage="1" showErrorMessage="1" errorTitle="Attenzione" error="Inserire un valore tra 0 e 12" prompt="Inserire un valore tra 0 e 6" sqref="D5:E19" xr:uid="{EE8920B3-A000-40BC-B0F2-385A5A2399E1}">
      <formula1>0</formula1>
      <formula2>6</formula2>
    </dataValidation>
  </dataValidations>
  <printOptions horizontalCentered="1"/>
  <pageMargins left="0.15748031496062992" right="0.15748031496062992" top="0.19685039370078741" bottom="0.19685039370078741" header="0.19685039370078741" footer="0.19685039370078741"/>
  <pageSetup paperSize="9" orientation="landscape" horizontalDpi="0" verticalDpi="0" r:id="rId1"/>
  <headerFooter>
    <oddFooter>&amp;LCalcolo IMU
&amp;RAree fabbricabili</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Vai_home">
                <anchor moveWithCells="1" sizeWithCells="1">
                  <from>
                    <xdr:col>0</xdr:col>
                    <xdr:colOff>449580</xdr:colOff>
                    <xdr:row>0</xdr:row>
                    <xdr:rowOff>60960</xdr:rowOff>
                  </from>
                  <to>
                    <xdr:col>1</xdr:col>
                    <xdr:colOff>1089660</xdr:colOff>
                    <xdr:row>0</xdr:row>
                    <xdr:rowOff>457200</xdr:rowOff>
                  </to>
                </anchor>
              </controlPr>
            </control>
          </mc:Choice>
        </mc:AlternateContent>
        <mc:AlternateContent xmlns:mc="http://schemas.openxmlformats.org/markup-compatibility/2006">
          <mc:Choice Requires="x14">
            <control shapeId="5122" r:id="rId5" name="Button 2">
              <controlPr defaultSize="0" print="0" autoFill="0" autoLine="0" autoPict="0" macro="[0]!Vai_terreni">
                <anchor moveWithCells="1" sizeWithCells="1">
                  <from>
                    <xdr:col>1</xdr:col>
                    <xdr:colOff>1249680</xdr:colOff>
                    <xdr:row>0</xdr:row>
                    <xdr:rowOff>60960</xdr:rowOff>
                  </from>
                  <to>
                    <xdr:col>3</xdr:col>
                    <xdr:colOff>68580</xdr:colOff>
                    <xdr:row>0</xdr:row>
                    <xdr:rowOff>457200</xdr:rowOff>
                  </to>
                </anchor>
              </controlPr>
            </control>
          </mc:Choice>
        </mc:AlternateContent>
        <mc:AlternateContent xmlns:mc="http://schemas.openxmlformats.org/markup-compatibility/2006">
          <mc:Choice Requires="x14">
            <control shapeId="5123" r:id="rId6" name="Button 3">
              <controlPr defaultSize="0" print="0" autoFill="0" autoLine="0" autoPict="0" macro="[0]!Vai_ab_princ">
                <anchor moveWithCells="1" sizeWithCells="1">
                  <from>
                    <xdr:col>5</xdr:col>
                    <xdr:colOff>457200</xdr:colOff>
                    <xdr:row>0</xdr:row>
                    <xdr:rowOff>60960</xdr:rowOff>
                  </from>
                  <to>
                    <xdr:col>6</xdr:col>
                    <xdr:colOff>533400</xdr:colOff>
                    <xdr:row>0</xdr:row>
                    <xdr:rowOff>464820</xdr:rowOff>
                  </to>
                </anchor>
              </controlPr>
            </control>
          </mc:Choice>
        </mc:AlternateContent>
        <mc:AlternateContent xmlns:mc="http://schemas.openxmlformats.org/markup-compatibility/2006">
          <mc:Choice Requires="x14">
            <control shapeId="5124" r:id="rId7" name="Button 4">
              <controlPr defaultSize="0" print="0" autoFill="0" autoLine="0" autoPict="0" macro="[0]!Vai_altri_fabb">
                <anchor moveWithCells="1" sizeWithCells="1">
                  <from>
                    <xdr:col>7</xdr:col>
                    <xdr:colOff>83820</xdr:colOff>
                    <xdr:row>0</xdr:row>
                    <xdr:rowOff>60960</xdr:rowOff>
                  </from>
                  <to>
                    <xdr:col>8</xdr:col>
                    <xdr:colOff>586740</xdr:colOff>
                    <xdr:row>0</xdr:row>
                    <xdr:rowOff>464820</xdr:rowOff>
                  </to>
                </anchor>
              </controlPr>
            </control>
          </mc:Choice>
        </mc:AlternateContent>
        <mc:AlternateContent xmlns:mc="http://schemas.openxmlformats.org/markup-compatibility/2006">
          <mc:Choice Requires="x14">
            <control shapeId="5125" r:id="rId8" name="Button 5">
              <controlPr defaultSize="0" print="0" autoFill="0" autoLine="0" autoPict="0" macro="[0]!Vai_riepilogo">
                <anchor moveWithCells="1" sizeWithCells="1">
                  <from>
                    <xdr:col>8</xdr:col>
                    <xdr:colOff>777240</xdr:colOff>
                    <xdr:row>0</xdr:row>
                    <xdr:rowOff>60960</xdr:rowOff>
                  </from>
                  <to>
                    <xdr:col>10</xdr:col>
                    <xdr:colOff>0</xdr:colOff>
                    <xdr:row>0</xdr:row>
                    <xdr:rowOff>464820</xdr:rowOff>
                  </to>
                </anchor>
              </controlPr>
            </control>
          </mc:Choice>
        </mc:AlternateContent>
        <mc:AlternateContent xmlns:mc="http://schemas.openxmlformats.org/markup-compatibility/2006">
          <mc:Choice Requires="x14">
            <control shapeId="5126" r:id="rId9" name="Button 6">
              <controlPr defaultSize="0" print="0" autoFill="0" autoLine="0" autoPict="0" macro="[0]!Vai_Rurali">
                <anchor moveWithCells="1" sizeWithCells="1">
                  <from>
                    <xdr:col>3</xdr:col>
                    <xdr:colOff>213360</xdr:colOff>
                    <xdr:row>0</xdr:row>
                    <xdr:rowOff>60960</xdr:rowOff>
                  </from>
                  <to>
                    <xdr:col>5</xdr:col>
                    <xdr:colOff>335280</xdr:colOff>
                    <xdr:row>0</xdr:row>
                    <xdr:rowOff>464820</xdr:rowOff>
                  </to>
                </anchor>
              </controlPr>
            </control>
          </mc:Choice>
        </mc:AlternateContent>
        <mc:AlternateContent xmlns:mc="http://schemas.openxmlformats.org/markup-compatibility/2006">
          <mc:Choice Requires="x14">
            <control shapeId="5128" r:id="rId10" name="Button 8">
              <controlPr defaultSize="0" print="0" autoFill="0" autoLine="0" autoPict="0" macro="[0]!Azzera_aree_fabbric">
                <anchor moveWithCells="1" sizeWithCells="1">
                  <from>
                    <xdr:col>15</xdr:col>
                    <xdr:colOff>137160</xdr:colOff>
                    <xdr:row>0</xdr:row>
                    <xdr:rowOff>60960</xdr:rowOff>
                  </from>
                  <to>
                    <xdr:col>16</xdr:col>
                    <xdr:colOff>350520</xdr:colOff>
                    <xdr:row>0</xdr:row>
                    <xdr:rowOff>464820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C7098-170E-496A-AD75-F6396F13FCDE}">
  <sheetPr codeName="Foglio7"/>
  <dimension ref="B1:H32"/>
  <sheetViews>
    <sheetView showGridLines="0" showRowColHeaders="0" showZeros="0" workbookViewId="0">
      <selection activeCell="C5" sqref="C5"/>
    </sheetView>
  </sheetViews>
  <sheetFormatPr defaultColWidth="9.21875" defaultRowHeight="15.6" x14ac:dyDescent="0.3"/>
  <cols>
    <col min="1" max="1" width="1.77734375" style="12" customWidth="1"/>
    <col min="2" max="2" width="13.21875" style="12" customWidth="1"/>
    <col min="3" max="3" width="33.77734375" style="12" customWidth="1"/>
    <col min="4" max="4" width="10" style="12" customWidth="1"/>
    <col min="5" max="7" width="20.77734375" style="12" customWidth="1"/>
    <col min="8" max="8" width="20.77734375" style="12" hidden="1" customWidth="1"/>
    <col min="9" max="9" width="19.21875" style="12" customWidth="1"/>
    <col min="10" max="16384" width="9.21875" style="12"/>
  </cols>
  <sheetData>
    <row r="1" spans="2:8" ht="39" customHeight="1" x14ac:dyDescent="0.3"/>
    <row r="2" spans="2:8" ht="9.75" customHeight="1" x14ac:dyDescent="0.3"/>
    <row r="3" spans="2:8" ht="21" customHeight="1" x14ac:dyDescent="0.3">
      <c r="B3" s="22" t="s">
        <v>128</v>
      </c>
      <c r="C3" s="39"/>
      <c r="D3" s="39"/>
      <c r="E3" s="39"/>
      <c r="F3" s="39"/>
      <c r="G3" s="39"/>
      <c r="H3" s="39"/>
    </row>
    <row r="4" spans="2:8" x14ac:dyDescent="0.3">
      <c r="B4" s="19" t="s">
        <v>0</v>
      </c>
      <c r="C4" s="17" t="str">
        <f>IF(Home!D8="","",Home!D8)</f>
        <v/>
      </c>
      <c r="D4" s="39"/>
      <c r="E4" s="39"/>
      <c r="F4" s="39"/>
      <c r="G4" s="39"/>
      <c r="H4" s="39"/>
    </row>
    <row r="5" spans="2:8" x14ac:dyDescent="0.3">
      <c r="B5" s="19" t="s">
        <v>25</v>
      </c>
      <c r="C5" s="129"/>
      <c r="D5" s="39"/>
      <c r="E5" s="39"/>
      <c r="F5" s="39"/>
      <c r="G5" s="39"/>
      <c r="H5" s="39"/>
    </row>
    <row r="6" spans="2:8" x14ac:dyDescent="0.3">
      <c r="B6" s="19" t="s">
        <v>68</v>
      </c>
      <c r="C6" s="17" t="str">
        <f>IF(Home!D10="","",Home!D10)</f>
        <v/>
      </c>
      <c r="D6" s="39"/>
      <c r="E6" s="39"/>
      <c r="F6" s="39"/>
      <c r="G6" s="39"/>
      <c r="H6" s="39"/>
    </row>
    <row r="7" spans="2:8" x14ac:dyDescent="0.3">
      <c r="B7" s="39"/>
      <c r="C7" s="39"/>
      <c r="D7" s="39"/>
      <c r="E7" s="39"/>
      <c r="F7" s="39"/>
      <c r="G7" s="39"/>
      <c r="H7" s="39"/>
    </row>
    <row r="8" spans="2:8" s="39" customFormat="1" x14ac:dyDescent="0.3">
      <c r="C8" s="13" t="s">
        <v>99</v>
      </c>
      <c r="D8" s="13" t="s">
        <v>66</v>
      </c>
      <c r="E8" s="13" t="s">
        <v>84</v>
      </c>
      <c r="F8" s="13" t="s">
        <v>47</v>
      </c>
      <c r="G8" s="37" t="s">
        <v>10</v>
      </c>
      <c r="H8" s="37" t="s">
        <v>124</v>
      </c>
    </row>
    <row r="9" spans="2:8" s="39" customFormat="1" x14ac:dyDescent="0.3">
      <c r="C9" s="31" t="s">
        <v>100</v>
      </c>
      <c r="D9" s="14" t="s">
        <v>67</v>
      </c>
      <c r="E9" s="31" t="s">
        <v>139</v>
      </c>
      <c r="F9" s="31" t="s">
        <v>140</v>
      </c>
      <c r="G9" s="31"/>
      <c r="H9" s="120" t="s">
        <v>123</v>
      </c>
    </row>
    <row r="10" spans="2:8" s="39" customFormat="1" x14ac:dyDescent="0.3">
      <c r="C10" s="33" t="s">
        <v>27</v>
      </c>
      <c r="D10" s="40" t="str">
        <f>IF(OR(G10&gt;0,H10&gt;0),3912,"")</f>
        <v/>
      </c>
      <c r="E10" s="32">
        <f>IF(OR('Abitazione principale'!C10="a/1",'Abitazione principale'!C10="a/8",'Abitazione principale'!C10="a/9"),ROUND('Abitazione principale'!L21,0),0)</f>
        <v>0</v>
      </c>
      <c r="F10" s="32">
        <f>IF(OR('Abitazione principale'!C10="a/1",'Abitazione principale'!C10="a/8",'Abitazione principale'!C10="a/9"),ROUND('Abitazione principale'!O21,0),0)</f>
        <v>0</v>
      </c>
      <c r="G10" s="32">
        <f>E10+F10</f>
        <v>0</v>
      </c>
      <c r="H10" s="32">
        <f>ROUND(IF('Abitazione principale'!B47&lt;=12,0,'Abitazione principale'!B47),0)</f>
        <v>0</v>
      </c>
    </row>
    <row r="11" spans="2:8" s="39" customFormat="1" x14ac:dyDescent="0.3">
      <c r="C11" s="35" t="s">
        <v>21</v>
      </c>
      <c r="D11" s="44"/>
      <c r="E11" s="16">
        <f>IF(OR('Abitazione principale'!C10="a/1",'Abitazione principale'!C10="a/8",'Abitazione principale'!C10="a/9"),ROUND('Abitazione principale'!L20,0),0)</f>
        <v>0</v>
      </c>
      <c r="F11" s="16">
        <f>IF(OR('Abitazione principale'!C10="a/1",'Abitazione principale'!C10="a/8",'Abitazione principale'!C10="a/9"),ROUND('Abitazione principale'!O20,0),0)</f>
        <v>0</v>
      </c>
      <c r="G11" s="36">
        <f>E11+F11</f>
        <v>0</v>
      </c>
      <c r="H11" s="125"/>
    </row>
    <row r="12" spans="2:8" s="39" customFormat="1" x14ac:dyDescent="0.3"/>
    <row r="13" spans="2:8" x14ac:dyDescent="0.3">
      <c r="B13" s="39"/>
      <c r="C13" s="39"/>
      <c r="D13" s="39"/>
      <c r="E13" s="39"/>
      <c r="F13" s="39"/>
      <c r="G13" s="39"/>
      <c r="H13" s="39"/>
    </row>
    <row r="14" spans="2:8" x14ac:dyDescent="0.3">
      <c r="B14" s="39"/>
      <c r="C14" s="13" t="s">
        <v>90</v>
      </c>
      <c r="D14" s="13" t="s">
        <v>76</v>
      </c>
      <c r="E14" s="13" t="s">
        <v>83</v>
      </c>
      <c r="F14" s="13" t="s">
        <v>47</v>
      </c>
      <c r="G14" s="37" t="s">
        <v>10</v>
      </c>
      <c r="H14" s="37" t="s">
        <v>124</v>
      </c>
    </row>
    <row r="15" spans="2:8" x14ac:dyDescent="0.3">
      <c r="B15" s="39"/>
      <c r="C15" s="14" t="s">
        <v>70</v>
      </c>
      <c r="D15" s="14" t="s">
        <v>67</v>
      </c>
      <c r="E15" s="14" t="s">
        <v>139</v>
      </c>
      <c r="F15" s="14" t="s">
        <v>140</v>
      </c>
      <c r="G15" s="14"/>
      <c r="H15" s="120" t="s">
        <v>123</v>
      </c>
    </row>
    <row r="16" spans="2:8" x14ac:dyDescent="0.3">
      <c r="B16" s="39"/>
      <c r="C16" s="33" t="s">
        <v>26</v>
      </c>
      <c r="D16" s="31" t="str">
        <f>IF(OR(G16&gt;0,H16&gt;0),3914,"")</f>
        <v/>
      </c>
      <c r="E16" s="121">
        <f>ROUND(Terreni!M31,0)</f>
        <v>0</v>
      </c>
      <c r="F16" s="121">
        <f>ROUND(Terreni!S31,0)</f>
        <v>0</v>
      </c>
      <c r="G16" s="121">
        <f t="shared" ref="G16:G22" si="0">E16+F16</f>
        <v>0</v>
      </c>
      <c r="H16" s="32">
        <f>ROUND(IF(Terreni!C66&lt;=12,0,Terreni!C66),0)</f>
        <v>0</v>
      </c>
    </row>
    <row r="17" spans="2:8" x14ac:dyDescent="0.3">
      <c r="B17" s="39"/>
      <c r="C17" s="34" t="s">
        <v>115</v>
      </c>
      <c r="D17" s="41" t="str">
        <f>IF(OR(G17&gt;0,H17&gt;0),3913,"")</f>
        <v/>
      </c>
      <c r="E17" s="122">
        <f>ROUND('Fabbricati rurali'!K15,0)</f>
        <v>0</v>
      </c>
      <c r="F17" s="122">
        <f>ROUND('Fabbricati rurali'!M15,0)</f>
        <v>0</v>
      </c>
      <c r="G17" s="122">
        <f t="shared" si="0"/>
        <v>0</v>
      </c>
      <c r="H17" s="32">
        <f>ROUND(IF('Fabbricati rurali'!C34&lt;=12,0,'Fabbricati rurali'!C34),0)</f>
        <v>0</v>
      </c>
    </row>
    <row r="18" spans="2:8" x14ac:dyDescent="0.3">
      <c r="B18" s="39"/>
      <c r="C18" s="34" t="s">
        <v>29</v>
      </c>
      <c r="D18" s="41" t="str">
        <f>IF(G18&gt;0,3916,"")</f>
        <v/>
      </c>
      <c r="E18" s="122">
        <f>ROUND('Aree fabbricabili'!J20,0)</f>
        <v>0</v>
      </c>
      <c r="F18" s="122">
        <f>ROUND('Aree fabbricabili'!P20,0)</f>
        <v>0</v>
      </c>
      <c r="G18" s="122">
        <f t="shared" si="0"/>
        <v>0</v>
      </c>
      <c r="H18" s="124"/>
    </row>
    <row r="19" spans="2:8" x14ac:dyDescent="0.3">
      <c r="B19" s="39"/>
      <c r="C19" s="34" t="s">
        <v>28</v>
      </c>
      <c r="D19" s="41" t="str">
        <f>IF(G19&gt;0,3918,"")</f>
        <v/>
      </c>
      <c r="E19" s="122">
        <f>ROUND('Altri fabbricati'!P30-'Altri fabbricati'!Q30-'Altri fabbricati'!R30,0)</f>
        <v>0</v>
      </c>
      <c r="F19" s="122">
        <f>ROUND('Altri fabbricati'!V30-'Altri fabbricati'!S30-'Altri fabbricati'!T30,0)</f>
        <v>0</v>
      </c>
      <c r="G19" s="122">
        <f t="shared" si="0"/>
        <v>0</v>
      </c>
      <c r="H19" s="123"/>
    </row>
    <row r="20" spans="2:8" s="39" customFormat="1" x14ac:dyDescent="0.3">
      <c r="C20" s="34" t="s">
        <v>145</v>
      </c>
      <c r="D20" s="41" t="str">
        <f>IF(G20&gt;0,IF('Altri fabbricati'!C5=5,3925,""),"")</f>
        <v/>
      </c>
      <c r="E20" s="122">
        <f>ROUND('Altri fabbricati'!R30,0)</f>
        <v>0</v>
      </c>
      <c r="F20" s="122">
        <f>ROUND('Altri fabbricati'!T30,0)</f>
        <v>0</v>
      </c>
      <c r="G20" s="122">
        <f t="shared" si="0"/>
        <v>0</v>
      </c>
      <c r="H20" s="128"/>
    </row>
    <row r="21" spans="2:8" s="39" customFormat="1" x14ac:dyDescent="0.3">
      <c r="C21" s="34" t="s">
        <v>146</v>
      </c>
      <c r="D21" s="41" t="str">
        <f>IF(G21&gt;0,IF('Altri fabbricati'!C5=5,3930,""),"")</f>
        <v/>
      </c>
      <c r="E21" s="122">
        <f>ROUND('Altri fabbricati'!Q30,0)</f>
        <v>0</v>
      </c>
      <c r="F21" s="122">
        <f>ROUND('Altri fabbricati'!S30,0)</f>
        <v>0</v>
      </c>
      <c r="G21" s="122">
        <f t="shared" si="0"/>
        <v>0</v>
      </c>
      <c r="H21" s="128"/>
    </row>
    <row r="22" spans="2:8" x14ac:dyDescent="0.3">
      <c r="B22" s="39"/>
      <c r="C22" s="38" t="s">
        <v>30</v>
      </c>
      <c r="D22" s="42"/>
      <c r="E22" s="36">
        <f>SUM(E16:E21)</f>
        <v>0</v>
      </c>
      <c r="F22" s="36">
        <f>SUM(F16:F21)</f>
        <v>0</v>
      </c>
      <c r="G22" s="21">
        <f t="shared" si="0"/>
        <v>0</v>
      </c>
      <c r="H22" s="36">
        <f>SUM(H16:H18)</f>
        <v>0</v>
      </c>
    </row>
    <row r="23" spans="2:8" x14ac:dyDescent="0.3">
      <c r="B23" s="39"/>
      <c r="C23" s="39"/>
      <c r="D23" s="43"/>
      <c r="E23" s="39"/>
      <c r="F23" s="39"/>
      <c r="G23" s="39"/>
      <c r="H23" s="39"/>
    </row>
    <row r="24" spans="2:8" s="39" customFormat="1" x14ac:dyDescent="0.3">
      <c r="C24" s="96" t="s">
        <v>141</v>
      </c>
      <c r="D24" s="97"/>
      <c r="E24" s="117"/>
      <c r="F24" s="21">
        <f>E10+E22</f>
        <v>0</v>
      </c>
    </row>
    <row r="25" spans="2:8" s="39" customFormat="1" hidden="1" x14ac:dyDescent="0.3">
      <c r="D25" s="35" t="s">
        <v>92</v>
      </c>
      <c r="E25" s="110"/>
      <c r="F25" s="34"/>
      <c r="H25" s="95" t="e">
        <f>#REF!</f>
        <v>#REF!</v>
      </c>
    </row>
    <row r="26" spans="2:8" s="39" customFormat="1" x14ac:dyDescent="0.3">
      <c r="C26" s="96" t="s">
        <v>142</v>
      </c>
      <c r="D26" s="97"/>
      <c r="E26" s="117"/>
      <c r="F26" s="21">
        <f>F10+F22</f>
        <v>0</v>
      </c>
    </row>
    <row r="27" spans="2:8" x14ac:dyDescent="0.3">
      <c r="C27" s="96" t="s">
        <v>143</v>
      </c>
      <c r="D27" s="97"/>
      <c r="E27" s="117"/>
      <c r="F27" s="21">
        <f>G10+G22</f>
        <v>0</v>
      </c>
      <c r="G27" s="39"/>
    </row>
    <row r="29" spans="2:8" hidden="1" x14ac:dyDescent="0.3">
      <c r="C29" s="96" t="s">
        <v>117</v>
      </c>
      <c r="D29" s="97"/>
      <c r="E29" s="117"/>
      <c r="F29" s="21">
        <f>H16</f>
        <v>0</v>
      </c>
    </row>
    <row r="30" spans="2:8" hidden="1" x14ac:dyDescent="0.3">
      <c r="C30" s="96" t="s">
        <v>118</v>
      </c>
      <c r="D30" s="97"/>
      <c r="E30" s="117"/>
      <c r="F30" s="21">
        <f>H17</f>
        <v>0</v>
      </c>
    </row>
    <row r="31" spans="2:8" s="39" customFormat="1" hidden="1" x14ac:dyDescent="0.3">
      <c r="C31" s="96" t="s">
        <v>116</v>
      </c>
      <c r="D31" s="97"/>
      <c r="E31" s="117"/>
      <c r="F31" s="21">
        <f>H10</f>
        <v>0</v>
      </c>
    </row>
    <row r="32" spans="2:8" hidden="1" x14ac:dyDescent="0.3">
      <c r="C32" s="96" t="s">
        <v>119</v>
      </c>
      <c r="D32" s="97"/>
      <c r="E32" s="117"/>
      <c r="F32" s="21">
        <f>SUM(F29:F31)</f>
        <v>0</v>
      </c>
    </row>
  </sheetData>
  <printOptions horizontalCentered="1"/>
  <pageMargins left="0.19685039370078741" right="0.19685039370078741" top="0.74803149606299213" bottom="0.74803149606299213" header="0.31496062992125984" footer="0.31496062992125984"/>
  <pageSetup paperSize="9" orientation="landscape" r:id="rId1"/>
  <headerFooter>
    <oddFooter>&amp;LCalcolo IMU&amp;RRiepilogo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9" r:id="rId4" name="Button 7">
              <controlPr defaultSize="0" print="0" autoFill="0" autoLine="0" autoPict="0" macro="[0]!Vai_home">
                <anchor moveWithCells="1" sizeWithCells="1">
                  <from>
                    <xdr:col>2</xdr:col>
                    <xdr:colOff>1211580</xdr:colOff>
                    <xdr:row>0</xdr:row>
                    <xdr:rowOff>83820</xdr:rowOff>
                  </from>
                  <to>
                    <xdr:col>3</xdr:col>
                    <xdr:colOff>106680</xdr:colOff>
                    <xdr:row>0</xdr:row>
                    <xdr:rowOff>480060</xdr:rowOff>
                  </to>
                </anchor>
              </controlPr>
            </control>
          </mc:Choice>
        </mc:AlternateContent>
        <mc:AlternateContent xmlns:mc="http://schemas.openxmlformats.org/markup-compatibility/2006">
          <mc:Choice Requires="x14">
            <control shapeId="8200" r:id="rId5" name="Button 8">
              <controlPr defaultSize="0" print="0" autoFill="0" autoLine="0" autoPict="0" macro="[0]!Azzera_tutto">
                <anchor moveWithCells="1" sizeWithCells="1">
                  <from>
                    <xdr:col>3</xdr:col>
                    <xdr:colOff>358140</xdr:colOff>
                    <xdr:row>0</xdr:row>
                    <xdr:rowOff>76200</xdr:rowOff>
                  </from>
                  <to>
                    <xdr:col>4</xdr:col>
                    <xdr:colOff>891540</xdr:colOff>
                    <xdr:row>0</xdr:row>
                    <xdr:rowOff>472440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6EBED-6A56-445E-B9B1-B103F9DFACE7}">
  <sheetPr codeName="Foglio8"/>
  <dimension ref="A1"/>
  <sheetViews>
    <sheetView showGridLines="0" showRowColHeaders="0" workbookViewId="0"/>
  </sheetViews>
  <sheetFormatPr defaultColWidth="9.21875" defaultRowHeight="14.4" x14ac:dyDescent="0.3"/>
  <cols>
    <col min="1" max="16384" width="9.21875" style="15"/>
  </cols>
  <sheetData>
    <row r="1" ht="39" customHeight="1" x14ac:dyDescent="0.3"/>
  </sheetData>
  <sheetProtection password="D08A" sheet="1" objects="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23" r:id="rId4" name="Button 7">
              <controlPr defaultSize="0" print="0" autoFill="0" autoLine="0" autoPict="0" macro="[0]!Vai_home">
                <anchor moveWithCells="1" sizeWithCells="1">
                  <from>
                    <xdr:col>3</xdr:col>
                    <xdr:colOff>205740</xdr:colOff>
                    <xdr:row>0</xdr:row>
                    <xdr:rowOff>60960</xdr:rowOff>
                  </from>
                  <to>
                    <xdr:col>5</xdr:col>
                    <xdr:colOff>53340</xdr:colOff>
                    <xdr:row>0</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21B3C-CD12-4A6C-8022-DEC1B7534031}">
  <sheetPr codeName="Foglio10"/>
  <dimension ref="A1"/>
  <sheetViews>
    <sheetView showGridLines="0" showRowColHeaders="0" workbookViewId="0">
      <selection activeCell="K4" sqref="K4"/>
    </sheetView>
  </sheetViews>
  <sheetFormatPr defaultColWidth="9.21875" defaultRowHeight="14.4" x14ac:dyDescent="0.3"/>
  <cols>
    <col min="1" max="16384" width="9.21875" style="15"/>
  </cols>
  <sheetData>
    <row r="1" ht="39" customHeight="1" x14ac:dyDescent="0.3"/>
  </sheetData>
  <pageMargins left="0.70866141732283472" right="0.70866141732283472" top="0" bottom="0.74803149606299213" header="0" footer="0.31496062992125984"/>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Vai_home">
                <anchor moveWithCells="1" sizeWithCells="1">
                  <from>
                    <xdr:col>3</xdr:col>
                    <xdr:colOff>228600</xdr:colOff>
                    <xdr:row>0</xdr:row>
                    <xdr:rowOff>60960</xdr:rowOff>
                  </from>
                  <to>
                    <xdr:col>5</xdr:col>
                    <xdr:colOff>68580</xdr:colOff>
                    <xdr:row>0</xdr:row>
                    <xdr:rowOff>457200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3D179-53C0-4973-BBA5-DEF2E7E9F284}">
  <sheetPr codeName="Foglio9"/>
  <dimension ref="A4:C16"/>
  <sheetViews>
    <sheetView topLeftCell="D1" workbookViewId="0">
      <selection sqref="A1:C65536"/>
    </sheetView>
  </sheetViews>
  <sheetFormatPr defaultColWidth="9.21875" defaultRowHeight="15.6" x14ac:dyDescent="0.3"/>
  <cols>
    <col min="1" max="1" width="19.5546875" style="11" hidden="1" customWidth="1"/>
    <col min="2" max="2" width="28.77734375" style="11" hidden="1" customWidth="1"/>
    <col min="3" max="3" width="9.21875" style="11" hidden="1" customWidth="1"/>
    <col min="4" max="16384" width="9.21875" style="11"/>
  </cols>
  <sheetData>
    <row r="4" spans="1:3" x14ac:dyDescent="0.3">
      <c r="A4" s="11" t="s">
        <v>12</v>
      </c>
    </row>
    <row r="5" spans="1:3" x14ac:dyDescent="0.3">
      <c r="B5" s="1" t="s">
        <v>13</v>
      </c>
      <c r="C5" s="11">
        <f>IF(Home!D9=0,0,160)</f>
        <v>160</v>
      </c>
    </row>
    <row r="6" spans="1:3" x14ac:dyDescent="0.3">
      <c r="B6" s="1" t="s">
        <v>14</v>
      </c>
      <c r="C6" s="11">
        <f>IF(Home!D9=0,0,140)</f>
        <v>140</v>
      </c>
    </row>
    <row r="7" spans="1:3" x14ac:dyDescent="0.3">
      <c r="B7" s="1" t="s">
        <v>15</v>
      </c>
      <c r="C7" s="11">
        <f>IF(Home!D9=0,0,140)</f>
        <v>140</v>
      </c>
    </row>
    <row r="8" spans="1:3" x14ac:dyDescent="0.3">
      <c r="B8" s="1" t="s">
        <v>33</v>
      </c>
      <c r="C8" s="11">
        <f>IF(Home!D9=0,0,80)</f>
        <v>80</v>
      </c>
    </row>
    <row r="9" spans="1:3" x14ac:dyDescent="0.3">
      <c r="B9" s="1" t="s">
        <v>96</v>
      </c>
      <c r="C9" s="11">
        <v>65</v>
      </c>
    </row>
    <row r="10" spans="1:3" x14ac:dyDescent="0.3">
      <c r="B10" s="1" t="s">
        <v>16</v>
      </c>
      <c r="C10" s="11">
        <f>IF(Home!D9=0,0,55)</f>
        <v>55</v>
      </c>
    </row>
    <row r="12" spans="1:3" x14ac:dyDescent="0.3">
      <c r="A12" s="11" t="s">
        <v>34</v>
      </c>
      <c r="B12" s="11" t="s">
        <v>36</v>
      </c>
    </row>
    <row r="13" spans="1:3" x14ac:dyDescent="0.3">
      <c r="B13" s="11" t="s">
        <v>35</v>
      </c>
    </row>
    <row r="15" spans="1:3" x14ac:dyDescent="0.3">
      <c r="A15" s="11" t="s">
        <v>63</v>
      </c>
      <c r="B15" s="11">
        <v>2</v>
      </c>
    </row>
    <row r="16" spans="1:3" x14ac:dyDescent="0.3">
      <c r="B16" s="11">
        <v>3</v>
      </c>
    </row>
  </sheetData>
  <sheetProtection password="D08A" sheet="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B142-CC99-46B1-966F-15F963C73DF2}">
  <sheetPr codeName="Foglio12"/>
  <dimension ref="A2:D38"/>
  <sheetViews>
    <sheetView topLeftCell="E1" workbookViewId="0">
      <selection sqref="A1:D65536"/>
    </sheetView>
  </sheetViews>
  <sheetFormatPr defaultColWidth="9.21875" defaultRowHeight="14.4" x14ac:dyDescent="0.3"/>
  <cols>
    <col min="1" max="1" width="0" hidden="1" customWidth="1"/>
    <col min="2" max="2" width="20.77734375" hidden="1" customWidth="1"/>
    <col min="3" max="3" width="0" hidden="1" customWidth="1"/>
    <col min="4" max="4" width="17.77734375" hidden="1" customWidth="1"/>
  </cols>
  <sheetData>
    <row r="2" spans="1:4" x14ac:dyDescent="0.3">
      <c r="A2" s="24" t="s">
        <v>48</v>
      </c>
      <c r="B2" s="25">
        <f>IF(Terreni!E3=2,Terreni!J31,0)</f>
        <v>0</v>
      </c>
      <c r="C2" s="25"/>
      <c r="D2" s="24"/>
    </row>
    <row r="3" spans="1:4" x14ac:dyDescent="0.3">
      <c r="A3" s="24"/>
      <c r="B3" s="25"/>
      <c r="C3" s="25"/>
      <c r="D3" s="24"/>
    </row>
    <row r="4" spans="1:4" x14ac:dyDescent="0.3">
      <c r="A4" s="24" t="s">
        <v>49</v>
      </c>
      <c r="B4" s="25" t="s">
        <v>50</v>
      </c>
      <c r="C4" s="25" t="s">
        <v>51</v>
      </c>
      <c r="D4" s="24"/>
    </row>
    <row r="5" spans="1:4" x14ac:dyDescent="0.3">
      <c r="A5" s="25">
        <v>0</v>
      </c>
      <c r="B5" s="25">
        <v>6000</v>
      </c>
      <c r="C5" s="26">
        <v>0</v>
      </c>
      <c r="D5" s="25">
        <f>IF(B2&lt;=B5,B2*C5,0)</f>
        <v>0</v>
      </c>
    </row>
    <row r="6" spans="1:4" x14ac:dyDescent="0.3">
      <c r="A6" s="25">
        <v>6000.01</v>
      </c>
      <c r="B6" s="25">
        <v>15500</v>
      </c>
      <c r="C6" s="26">
        <v>0.3</v>
      </c>
      <c r="D6" s="25">
        <f>IF(AND($B$2&gt;B5,$B$2&lt;B6),($B$2-B5)*C6,0)</f>
        <v>0</v>
      </c>
    </row>
    <row r="7" spans="1:4" x14ac:dyDescent="0.3">
      <c r="A7" s="25">
        <v>15500.01</v>
      </c>
      <c r="B7" s="25">
        <v>25500</v>
      </c>
      <c r="C7" s="26">
        <v>0.5</v>
      </c>
      <c r="D7" s="25">
        <f>IF(AND($B$2&gt;B6,$B$2&lt;B7),2850+($B$2-B6)*C7,0)</f>
        <v>0</v>
      </c>
    </row>
    <row r="8" spans="1:4" x14ac:dyDescent="0.3">
      <c r="A8" s="25">
        <v>25500.01</v>
      </c>
      <c r="B8" s="25">
        <v>32000</v>
      </c>
      <c r="C8" s="26">
        <v>0.75</v>
      </c>
      <c r="D8" s="25">
        <f>IF(AND($B$2&gt;B7,$B$2&lt;B8),7850+($B$2-B7)*C8,0)</f>
        <v>0</v>
      </c>
    </row>
    <row r="9" spans="1:4" x14ac:dyDescent="0.3">
      <c r="A9" s="25">
        <v>32000.01</v>
      </c>
      <c r="B9" s="25">
        <v>100000000000</v>
      </c>
      <c r="C9" s="26">
        <v>1</v>
      </c>
      <c r="D9" s="25">
        <f>IF(AND($B$2&gt;B8,$B$2&lt;B9),12725+($B$2-B8)*C9,0)</f>
        <v>0</v>
      </c>
    </row>
    <row r="10" spans="1:4" x14ac:dyDescent="0.3">
      <c r="A10" s="25"/>
      <c r="B10" s="25"/>
      <c r="C10" s="26"/>
      <c r="D10" s="25">
        <f>SUM(D5:D9)</f>
        <v>0</v>
      </c>
    </row>
    <row r="11" spans="1:4" x14ac:dyDescent="0.3">
      <c r="A11" s="24"/>
      <c r="B11" s="25"/>
      <c r="C11" s="25"/>
      <c r="D11" s="24"/>
    </row>
    <row r="12" spans="1:4" x14ac:dyDescent="0.3">
      <c r="A12" s="24"/>
      <c r="B12" s="25" t="s">
        <v>52</v>
      </c>
      <c r="C12" s="25" t="s">
        <v>53</v>
      </c>
      <c r="D12" s="24" t="s">
        <v>54</v>
      </c>
    </row>
    <row r="13" spans="1:4" x14ac:dyDescent="0.3">
      <c r="A13" s="24"/>
      <c r="B13" s="25">
        <f>Terreni!J6</f>
        <v>0</v>
      </c>
      <c r="C13" s="26">
        <f>IF($B$2=0,0,B13/$B$38)</f>
        <v>0</v>
      </c>
      <c r="D13" s="25">
        <f>$D$10*C13</f>
        <v>0</v>
      </c>
    </row>
    <row r="14" spans="1:4" x14ac:dyDescent="0.3">
      <c r="A14" s="24"/>
      <c r="B14" s="25">
        <f>Terreni!J7</f>
        <v>0</v>
      </c>
      <c r="C14" s="26">
        <f t="shared" ref="C14:C37" si="0">IF($B$2=0,0,B14/$B$38)</f>
        <v>0</v>
      </c>
      <c r="D14" s="25">
        <f t="shared" ref="D14:D37" si="1">$D$10*C14</f>
        <v>0</v>
      </c>
    </row>
    <row r="15" spans="1:4" x14ac:dyDescent="0.3">
      <c r="A15" s="24"/>
      <c r="B15" s="25">
        <f>Terreni!J8</f>
        <v>0</v>
      </c>
      <c r="C15" s="26">
        <f t="shared" si="0"/>
        <v>0</v>
      </c>
      <c r="D15" s="25">
        <f t="shared" si="1"/>
        <v>0</v>
      </c>
    </row>
    <row r="16" spans="1:4" x14ac:dyDescent="0.3">
      <c r="A16" s="24"/>
      <c r="B16" s="25">
        <f>Terreni!J9</f>
        <v>0</v>
      </c>
      <c r="C16" s="26">
        <f t="shared" si="0"/>
        <v>0</v>
      </c>
      <c r="D16" s="25">
        <f t="shared" si="1"/>
        <v>0</v>
      </c>
    </row>
    <row r="17" spans="1:4" x14ac:dyDescent="0.3">
      <c r="A17" s="24"/>
      <c r="B17" s="25">
        <f>Terreni!J10</f>
        <v>0</v>
      </c>
      <c r="C17" s="26">
        <f t="shared" si="0"/>
        <v>0</v>
      </c>
      <c r="D17" s="25">
        <f t="shared" si="1"/>
        <v>0</v>
      </c>
    </row>
    <row r="18" spans="1:4" x14ac:dyDescent="0.3">
      <c r="A18" s="24"/>
      <c r="B18" s="25">
        <f>Terreni!J11</f>
        <v>0</v>
      </c>
      <c r="C18" s="26">
        <f t="shared" si="0"/>
        <v>0</v>
      </c>
      <c r="D18" s="25">
        <f t="shared" si="1"/>
        <v>0</v>
      </c>
    </row>
    <row r="19" spans="1:4" x14ac:dyDescent="0.3">
      <c r="A19" s="24"/>
      <c r="B19" s="25">
        <f>Terreni!J12</f>
        <v>0</v>
      </c>
      <c r="C19" s="26">
        <f t="shared" si="0"/>
        <v>0</v>
      </c>
      <c r="D19" s="25">
        <f t="shared" si="1"/>
        <v>0</v>
      </c>
    </row>
    <row r="20" spans="1:4" x14ac:dyDescent="0.3">
      <c r="A20" s="24"/>
      <c r="B20" s="25">
        <f>Terreni!J13</f>
        <v>0</v>
      </c>
      <c r="C20" s="26">
        <f t="shared" si="0"/>
        <v>0</v>
      </c>
      <c r="D20" s="25">
        <f t="shared" si="1"/>
        <v>0</v>
      </c>
    </row>
    <row r="21" spans="1:4" x14ac:dyDescent="0.3">
      <c r="A21" s="24"/>
      <c r="B21" s="25">
        <f>Terreni!J14</f>
        <v>0</v>
      </c>
      <c r="C21" s="26">
        <f t="shared" si="0"/>
        <v>0</v>
      </c>
      <c r="D21" s="25">
        <f t="shared" si="1"/>
        <v>0</v>
      </c>
    </row>
    <row r="22" spans="1:4" x14ac:dyDescent="0.3">
      <c r="A22" s="24"/>
      <c r="B22" s="25">
        <f>Terreni!J15</f>
        <v>0</v>
      </c>
      <c r="C22" s="26">
        <f t="shared" si="0"/>
        <v>0</v>
      </c>
      <c r="D22" s="25">
        <f t="shared" si="1"/>
        <v>0</v>
      </c>
    </row>
    <row r="23" spans="1:4" x14ac:dyDescent="0.3">
      <c r="A23" s="24"/>
      <c r="B23" s="25">
        <f>Terreni!J16</f>
        <v>0</v>
      </c>
      <c r="C23" s="26">
        <f t="shared" si="0"/>
        <v>0</v>
      </c>
      <c r="D23" s="25">
        <f t="shared" si="1"/>
        <v>0</v>
      </c>
    </row>
    <row r="24" spans="1:4" x14ac:dyDescent="0.3">
      <c r="A24" s="24"/>
      <c r="B24" s="25">
        <f>Terreni!J17</f>
        <v>0</v>
      </c>
      <c r="C24" s="26">
        <f t="shared" si="0"/>
        <v>0</v>
      </c>
      <c r="D24" s="25">
        <f t="shared" si="1"/>
        <v>0</v>
      </c>
    </row>
    <row r="25" spans="1:4" x14ac:dyDescent="0.3">
      <c r="A25" s="24"/>
      <c r="B25" s="25">
        <f>Terreni!J18</f>
        <v>0</v>
      </c>
      <c r="C25" s="26">
        <f t="shared" si="0"/>
        <v>0</v>
      </c>
      <c r="D25" s="25">
        <f t="shared" si="1"/>
        <v>0</v>
      </c>
    </row>
    <row r="26" spans="1:4" x14ac:dyDescent="0.3">
      <c r="A26" s="24"/>
      <c r="B26" s="25">
        <f>Terreni!J19</f>
        <v>0</v>
      </c>
      <c r="C26" s="26">
        <f t="shared" si="0"/>
        <v>0</v>
      </c>
      <c r="D26" s="25">
        <f t="shared" si="1"/>
        <v>0</v>
      </c>
    </row>
    <row r="27" spans="1:4" x14ac:dyDescent="0.3">
      <c r="A27" s="24"/>
      <c r="B27" s="25">
        <f>Terreni!J20</f>
        <v>0</v>
      </c>
      <c r="C27" s="26">
        <f t="shared" si="0"/>
        <v>0</v>
      </c>
      <c r="D27" s="25">
        <f t="shared" si="1"/>
        <v>0</v>
      </c>
    </row>
    <row r="28" spans="1:4" x14ac:dyDescent="0.3">
      <c r="A28" s="24"/>
      <c r="B28" s="25">
        <f>Terreni!J21</f>
        <v>0</v>
      </c>
      <c r="C28" s="26">
        <f t="shared" si="0"/>
        <v>0</v>
      </c>
      <c r="D28" s="25">
        <f t="shared" si="1"/>
        <v>0</v>
      </c>
    </row>
    <row r="29" spans="1:4" x14ac:dyDescent="0.3">
      <c r="A29" s="24"/>
      <c r="B29" s="25">
        <f>Terreni!J22</f>
        <v>0</v>
      </c>
      <c r="C29" s="26">
        <f t="shared" si="0"/>
        <v>0</v>
      </c>
      <c r="D29" s="25">
        <f t="shared" si="1"/>
        <v>0</v>
      </c>
    </row>
    <row r="30" spans="1:4" x14ac:dyDescent="0.3">
      <c r="A30" s="24"/>
      <c r="B30" s="25">
        <f>Terreni!J23</f>
        <v>0</v>
      </c>
      <c r="C30" s="26">
        <f t="shared" si="0"/>
        <v>0</v>
      </c>
      <c r="D30" s="25">
        <f t="shared" si="1"/>
        <v>0</v>
      </c>
    </row>
    <row r="31" spans="1:4" x14ac:dyDescent="0.3">
      <c r="A31" s="24"/>
      <c r="B31" s="25">
        <f>Terreni!J24</f>
        <v>0</v>
      </c>
      <c r="C31" s="26">
        <f t="shared" si="0"/>
        <v>0</v>
      </c>
      <c r="D31" s="25">
        <f t="shared" si="1"/>
        <v>0</v>
      </c>
    </row>
    <row r="32" spans="1:4" x14ac:dyDescent="0.3">
      <c r="A32" s="24"/>
      <c r="B32" s="25">
        <f>Terreni!J25</f>
        <v>0</v>
      </c>
      <c r="C32" s="26">
        <f t="shared" si="0"/>
        <v>0</v>
      </c>
      <c r="D32" s="25">
        <f t="shared" si="1"/>
        <v>0</v>
      </c>
    </row>
    <row r="33" spans="1:4" x14ac:dyDescent="0.3">
      <c r="A33" s="24"/>
      <c r="B33" s="25">
        <f>Terreni!J26</f>
        <v>0</v>
      </c>
      <c r="C33" s="26">
        <f t="shared" si="0"/>
        <v>0</v>
      </c>
      <c r="D33" s="25">
        <f t="shared" si="1"/>
        <v>0</v>
      </c>
    </row>
    <row r="34" spans="1:4" x14ac:dyDescent="0.3">
      <c r="A34" s="24"/>
      <c r="B34" s="25">
        <f>Terreni!J27</f>
        <v>0</v>
      </c>
      <c r="C34" s="26">
        <f t="shared" si="0"/>
        <v>0</v>
      </c>
      <c r="D34" s="25">
        <f t="shared" si="1"/>
        <v>0</v>
      </c>
    </row>
    <row r="35" spans="1:4" x14ac:dyDescent="0.3">
      <c r="A35" s="24"/>
      <c r="B35" s="25">
        <f>Terreni!J28</f>
        <v>0</v>
      </c>
      <c r="C35" s="26">
        <f t="shared" si="0"/>
        <v>0</v>
      </c>
      <c r="D35" s="25">
        <f t="shared" si="1"/>
        <v>0</v>
      </c>
    </row>
    <row r="36" spans="1:4" x14ac:dyDescent="0.3">
      <c r="A36" s="24"/>
      <c r="B36" s="25">
        <f>Terreni!J29</f>
        <v>0</v>
      </c>
      <c r="C36" s="26">
        <f t="shared" si="0"/>
        <v>0</v>
      </c>
      <c r="D36" s="25">
        <f t="shared" si="1"/>
        <v>0</v>
      </c>
    </row>
    <row r="37" spans="1:4" x14ac:dyDescent="0.3">
      <c r="A37" s="24"/>
      <c r="B37" s="25">
        <f>Terreni!J30</f>
        <v>0</v>
      </c>
      <c r="C37" s="26">
        <f t="shared" si="0"/>
        <v>0</v>
      </c>
      <c r="D37" s="25">
        <f t="shared" si="1"/>
        <v>0</v>
      </c>
    </row>
    <row r="38" spans="1:4" x14ac:dyDescent="0.3">
      <c r="A38" s="27" t="s">
        <v>55</v>
      </c>
      <c r="B38" s="28">
        <f>SUM(B13:B37)</f>
        <v>0</v>
      </c>
      <c r="C38" s="29">
        <f>SUM(C13:C37)</f>
        <v>0</v>
      </c>
      <c r="D38" s="28">
        <f>SUM(D13:D37)</f>
        <v>0</v>
      </c>
    </row>
  </sheetData>
  <sheetProtection password="D08A"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9</vt:i4>
      </vt:variant>
    </vt:vector>
  </HeadingPairs>
  <TitlesOfParts>
    <vt:vector size="20" baseType="lpstr">
      <vt:lpstr>Home</vt:lpstr>
      <vt:lpstr>Terreni</vt:lpstr>
      <vt:lpstr>Fabbricati rurali</vt:lpstr>
      <vt:lpstr>Abitazione principale</vt:lpstr>
      <vt:lpstr>Altri fabbricati</vt:lpstr>
      <vt:lpstr>Aree fabbricabili</vt:lpstr>
      <vt:lpstr>Riepilogo</vt:lpstr>
      <vt:lpstr>Istruzioni</vt:lpstr>
      <vt:lpstr>Novità</vt:lpstr>
      <vt:lpstr>Oggetti</vt:lpstr>
      <vt:lpstr>Riduzione terreni</vt:lpstr>
      <vt:lpstr>'Abitazione principale'!Area_stampa</vt:lpstr>
      <vt:lpstr>'Altri fabbricati'!Area_stampa</vt:lpstr>
      <vt:lpstr>'Aree fabbricabili'!Area_stampa</vt:lpstr>
      <vt:lpstr>'Fabbricati rurali'!Area_stampa</vt:lpstr>
      <vt:lpstr>Home!Area_stampa</vt:lpstr>
      <vt:lpstr>Novità!Area_stampa</vt:lpstr>
      <vt:lpstr>Riepilogo!Area_stampa</vt:lpstr>
      <vt:lpstr>Terreni!Area_stampa</vt:lpstr>
      <vt:lpstr>'Altri fabbricati'!Titoli_stampa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Utente Windows</dc:creator>
  <cp:lastModifiedBy>Francesca Rizzo</cp:lastModifiedBy>
  <cp:lastPrinted>2022-06-09T20:28:05Z</cp:lastPrinted>
  <dcterms:created xsi:type="dcterms:W3CDTF">2011-12-12T18:09:40Z</dcterms:created>
  <dcterms:modified xsi:type="dcterms:W3CDTF">2025-12-10T13:15:02Z</dcterms:modified>
</cp:coreProperties>
</file>